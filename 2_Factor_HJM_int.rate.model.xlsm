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bruiker\Documents\"/>
    </mc:Choice>
  </mc:AlternateContent>
  <bookViews>
    <workbookView xWindow="120" yWindow="75" windowWidth="15480" windowHeight="11640"/>
  </bookViews>
  <sheets>
    <sheet name="2-factor HJM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M11" i="1" l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K11" i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E11" i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G5" i="1"/>
  <c r="J6" i="1"/>
  <c r="G6" i="1"/>
  <c r="H5" i="1"/>
  <c r="F5" i="1"/>
  <c r="H6" i="1"/>
  <c r="I5" i="1"/>
  <c r="I6" i="1"/>
  <c r="J5" i="1"/>
  <c r="F6" i="1"/>
  <c r="K5" i="1"/>
  <c r="K6" i="1"/>
  <c r="I4" i="1"/>
  <c r="J4" i="1"/>
  <c r="F4" i="1"/>
  <c r="G4" i="1"/>
  <c r="K4" i="1"/>
  <c r="H4" i="1"/>
  <c r="G11" i="1" l="1"/>
  <c r="J11" i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I11" i="1"/>
  <c r="F11" i="1"/>
  <c r="H11" i="1"/>
  <c r="I12" i="1" l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F12" i="1"/>
  <c r="H12" i="1"/>
  <c r="G12" i="1"/>
  <c r="H13" i="1" l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G13" i="1"/>
  <c r="F13" i="1"/>
  <c r="G14" i="1" l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F14" i="1"/>
  <c r="F15" i="1" l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</calcChain>
</file>

<file path=xl/sharedStrings.xml><?xml version="1.0" encoding="utf-8"?>
<sst xmlns="http://schemas.openxmlformats.org/spreadsheetml/2006/main" count="9" uniqueCount="8">
  <si>
    <t>Timestep</t>
  </si>
  <si>
    <t>Time</t>
  </si>
  <si>
    <t>Random #s</t>
  </si>
  <si>
    <t>Maturities and Forward rates</t>
  </si>
  <si>
    <t>years</t>
  </si>
  <si>
    <t>m</t>
  </si>
  <si>
    <t>vol2</t>
  </si>
  <si>
    <t>vol1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</si>
</sst>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Border="1"/>
    <xf numFmtId="165" fontId="2" fillId="0" borderId="0" xfId="0" applyNumberFormat="1" applyFont="1"/>
    <xf numFmtId="164" fontId="2" fillId="0" borderId="0" xfId="0" applyNumberFormat="1" applyFont="1"/>
    <xf numFmtId="0" fontId="4" fillId="2" borderId="0" xfId="1"/>
    <xf numFmtId="10" fontId="4" fillId="2" borderId="0" xfId="1" applyNumberFormat="1"/>
    <xf numFmtId="0" fontId="5" fillId="3" borderId="0" xfId="2"/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Evolution of forward rates</a:t>
            </a:r>
          </a:p>
        </c:rich>
      </c:tx>
      <c:layout>
        <c:manualLayout>
          <c:xMode val="edge"/>
          <c:yMode val="edge"/>
          <c:x val="0.28387156391037449"/>
          <c:y val="3.50878194896161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19891062004347"/>
          <c:y val="7.3099415204678372E-2"/>
          <c:w val="0.84731360742945105"/>
          <c:h val="0.7251482694520669"/>
        </c:manualLayout>
      </c:layout>
      <c:scatterChart>
        <c:scatterStyle val="lineMarker"/>
        <c:varyColors val="0"/>
        <c:ser>
          <c:idx val="0"/>
          <c:order val="0"/>
          <c:tx>
            <c:strRef>
              <c:f>'2-factor HJM'!$F$9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'2-factor HJM'!$E$10:$E$210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'2-factor HJM'!$F$10:$F$210</c:f>
              <c:numCache>
                <c:formatCode>General</c:formatCode>
                <c:ptCount val="201"/>
                <c:pt idx="0" formatCode="0.00%">
                  <c:v>5.0000000000000001E-3</c:v>
                </c:pt>
                <c:pt idx="1">
                  <c:v>2.7588280245521646E-3</c:v>
                </c:pt>
                <c:pt idx="2">
                  <c:v>-5.2066903706478361E-4</c:v>
                </c:pt>
                <c:pt idx="3">
                  <c:v>-9.7450810369207924E-4</c:v>
                </c:pt>
                <c:pt idx="4">
                  <c:v>-4.9041441967459321E-3</c:v>
                </c:pt>
                <c:pt idx="5">
                  <c:v>-4.9568778582461601E-3</c:v>
                </c:pt>
                <c:pt idx="6">
                  <c:v>-6.2568573382450199E-3</c:v>
                </c:pt>
                <c:pt idx="7">
                  <c:v>-8.0503677892212432E-3</c:v>
                </c:pt>
                <c:pt idx="8">
                  <c:v>-8.4018335333931916E-3</c:v>
                </c:pt>
                <c:pt idx="9">
                  <c:v>-7.9732306595127426E-3</c:v>
                </c:pt>
                <c:pt idx="10">
                  <c:v>-4.9892897989748724E-3</c:v>
                </c:pt>
                <c:pt idx="11">
                  <c:v>-2.0818977893372224E-3</c:v>
                </c:pt>
                <c:pt idx="12">
                  <c:v>3.0737368118858455E-3</c:v>
                </c:pt>
                <c:pt idx="13">
                  <c:v>3.7400162451370921E-3</c:v>
                </c:pt>
                <c:pt idx="14">
                  <c:v>3.548328804063789E-3</c:v>
                </c:pt>
                <c:pt idx="15">
                  <c:v>5.0171083185753503E-3</c:v>
                </c:pt>
                <c:pt idx="16">
                  <c:v>1.1805127350217762E-4</c:v>
                </c:pt>
                <c:pt idx="17">
                  <c:v>-1.8432469953734354E-3</c:v>
                </c:pt>
                <c:pt idx="18">
                  <c:v>1.9143273637534732E-4</c:v>
                </c:pt>
                <c:pt idx="19">
                  <c:v>1.9050358710875008E-3</c:v>
                </c:pt>
                <c:pt idx="20">
                  <c:v>2.5220003354133411E-3</c:v>
                </c:pt>
                <c:pt idx="21">
                  <c:v>2.6814971753093106E-3</c:v>
                </c:pt>
                <c:pt idx="22">
                  <c:v>4.750975765486715E-3</c:v>
                </c:pt>
                <c:pt idx="23">
                  <c:v>1.2698397465559746E-3</c:v>
                </c:pt>
                <c:pt idx="24">
                  <c:v>1.7296204156799196E-3</c:v>
                </c:pt>
                <c:pt idx="25">
                  <c:v>4.6612974576056409E-3</c:v>
                </c:pt>
                <c:pt idx="26">
                  <c:v>1.6953655484947237E-3</c:v>
                </c:pt>
                <c:pt idx="27">
                  <c:v>7.2996198960135182E-4</c:v>
                </c:pt>
                <c:pt idx="28">
                  <c:v>-3.1935093637965094E-4</c:v>
                </c:pt>
                <c:pt idx="29">
                  <c:v>2.2517675711217172E-3</c:v>
                </c:pt>
                <c:pt idx="30">
                  <c:v>4.536113043649502E-3</c:v>
                </c:pt>
                <c:pt idx="31">
                  <c:v>4.2610034762216274E-3</c:v>
                </c:pt>
                <c:pt idx="32">
                  <c:v>8.7758051071763106E-3</c:v>
                </c:pt>
                <c:pt idx="33">
                  <c:v>9.1671207162818472E-3</c:v>
                </c:pt>
                <c:pt idx="34">
                  <c:v>1.1213966112498988E-2</c:v>
                </c:pt>
                <c:pt idx="35">
                  <c:v>1.1790740801774214E-2</c:v>
                </c:pt>
                <c:pt idx="36">
                  <c:v>1.1376990399092948E-2</c:v>
                </c:pt>
                <c:pt idx="37">
                  <c:v>1.0061841192112378E-2</c:v>
                </c:pt>
                <c:pt idx="38">
                  <c:v>1.2053273812670342E-2</c:v>
                </c:pt>
                <c:pt idx="39">
                  <c:v>1.2414447987538942E-2</c:v>
                </c:pt>
                <c:pt idx="40">
                  <c:v>1.1303972588924245E-2</c:v>
                </c:pt>
                <c:pt idx="41">
                  <c:v>1.0524051178527965E-2</c:v>
                </c:pt>
                <c:pt idx="42">
                  <c:v>9.7330565577187639E-3</c:v>
                </c:pt>
                <c:pt idx="43">
                  <c:v>1.0031102443837949E-2</c:v>
                </c:pt>
                <c:pt idx="44">
                  <c:v>9.3291331709107993E-3</c:v>
                </c:pt>
                <c:pt idx="45">
                  <c:v>6.4881249772322375E-3</c:v>
                </c:pt>
                <c:pt idx="46">
                  <c:v>9.4187694782480354E-3</c:v>
                </c:pt>
                <c:pt idx="47">
                  <c:v>8.2287337221437773E-3</c:v>
                </c:pt>
                <c:pt idx="48">
                  <c:v>1.0442150202297022E-2</c:v>
                </c:pt>
                <c:pt idx="49">
                  <c:v>1.0669055790911654E-2</c:v>
                </c:pt>
                <c:pt idx="50">
                  <c:v>1.079720589701247E-2</c:v>
                </c:pt>
                <c:pt idx="51">
                  <c:v>9.5884629751970558E-3</c:v>
                </c:pt>
                <c:pt idx="52">
                  <c:v>8.0565630891641475E-3</c:v>
                </c:pt>
                <c:pt idx="53">
                  <c:v>6.7229915649445497E-3</c:v>
                </c:pt>
                <c:pt idx="54">
                  <c:v>3.4402683457715657E-3</c:v>
                </c:pt>
                <c:pt idx="55">
                  <c:v>3.6525950274003847E-3</c:v>
                </c:pt>
                <c:pt idx="56">
                  <c:v>3.9005024283893541E-3</c:v>
                </c:pt>
                <c:pt idx="57">
                  <c:v>5.1123406741125322E-3</c:v>
                </c:pt>
                <c:pt idx="58">
                  <c:v>6.8899228281227125E-3</c:v>
                </c:pt>
                <c:pt idx="59">
                  <c:v>9.1237530330514384E-3</c:v>
                </c:pt>
                <c:pt idx="60">
                  <c:v>8.5013976061701375E-3</c:v>
                </c:pt>
                <c:pt idx="61">
                  <c:v>8.6844977375092024E-3</c:v>
                </c:pt>
                <c:pt idx="62">
                  <c:v>9.0375425523348037E-3</c:v>
                </c:pt>
                <c:pt idx="63">
                  <c:v>1.2658303758095145E-2</c:v>
                </c:pt>
                <c:pt idx="64">
                  <c:v>1.5215380189595878E-2</c:v>
                </c:pt>
                <c:pt idx="65">
                  <c:v>1.4663065157923443E-2</c:v>
                </c:pt>
                <c:pt idx="66">
                  <c:v>1.358907205954818E-2</c:v>
                </c:pt>
                <c:pt idx="67">
                  <c:v>1.2424418363105094E-2</c:v>
                </c:pt>
                <c:pt idx="68">
                  <c:v>1.482373221475748E-2</c:v>
                </c:pt>
                <c:pt idx="69">
                  <c:v>1.3130892398568806E-2</c:v>
                </c:pt>
                <c:pt idx="70">
                  <c:v>1.2240624505537943E-2</c:v>
                </c:pt>
                <c:pt idx="71">
                  <c:v>1.2339577024891009E-2</c:v>
                </c:pt>
                <c:pt idx="72">
                  <c:v>1.4818433468340957E-2</c:v>
                </c:pt>
                <c:pt idx="73">
                  <c:v>1.5654484965218977E-2</c:v>
                </c:pt>
                <c:pt idx="74">
                  <c:v>1.8143339402696333E-2</c:v>
                </c:pt>
                <c:pt idx="75">
                  <c:v>1.7740603777664031E-2</c:v>
                </c:pt>
                <c:pt idx="76">
                  <c:v>1.6846079085725094E-2</c:v>
                </c:pt>
                <c:pt idx="77">
                  <c:v>1.7237476501711146E-2</c:v>
                </c:pt>
                <c:pt idx="78">
                  <c:v>1.5570161411215181E-2</c:v>
                </c:pt>
                <c:pt idx="79">
                  <c:v>1.1806467069776791E-2</c:v>
                </c:pt>
                <c:pt idx="80">
                  <c:v>1.289803328042062E-2</c:v>
                </c:pt>
                <c:pt idx="81">
                  <c:v>1.4186857152978707E-2</c:v>
                </c:pt>
                <c:pt idx="82">
                  <c:v>9.581245470482308E-3</c:v>
                </c:pt>
                <c:pt idx="83">
                  <c:v>1.3398794613818748E-2</c:v>
                </c:pt>
                <c:pt idx="84">
                  <c:v>1.1080283023206412E-2</c:v>
                </c:pt>
                <c:pt idx="85">
                  <c:v>8.7508684019039808E-3</c:v>
                </c:pt>
                <c:pt idx="86">
                  <c:v>7.9899769195015541E-3</c:v>
                </c:pt>
                <c:pt idx="87">
                  <c:v>8.2740445561199603E-3</c:v>
                </c:pt>
                <c:pt idx="88">
                  <c:v>9.0255558426103541E-3</c:v>
                </c:pt>
                <c:pt idx="89">
                  <c:v>9.5934440406518304E-3</c:v>
                </c:pt>
                <c:pt idx="90">
                  <c:v>9.2745125101327298E-3</c:v>
                </c:pt>
                <c:pt idx="91">
                  <c:v>1.4151585281548015E-2</c:v>
                </c:pt>
                <c:pt idx="92">
                  <c:v>1.5197782575671885E-2</c:v>
                </c:pt>
                <c:pt idx="93">
                  <c:v>1.5164615641093464E-2</c:v>
                </c:pt>
                <c:pt idx="94">
                  <c:v>1.4743327917980635E-2</c:v>
                </c:pt>
                <c:pt idx="95">
                  <c:v>1.5260857325222402E-2</c:v>
                </c:pt>
                <c:pt idx="96">
                  <c:v>1.0637810795250193E-2</c:v>
                </c:pt>
                <c:pt idx="97">
                  <c:v>1.0160556602922631E-2</c:v>
                </c:pt>
                <c:pt idx="98">
                  <c:v>1.0215865659804963E-2</c:v>
                </c:pt>
                <c:pt idx="99">
                  <c:v>1.0510287976278518E-2</c:v>
                </c:pt>
                <c:pt idx="100">
                  <c:v>9.0531844532581469E-3</c:v>
                </c:pt>
                <c:pt idx="101">
                  <c:v>8.1058423801843842E-3</c:v>
                </c:pt>
                <c:pt idx="102">
                  <c:v>7.6599961908831683E-3</c:v>
                </c:pt>
                <c:pt idx="103">
                  <c:v>7.2239667128265557E-3</c:v>
                </c:pt>
                <c:pt idx="104">
                  <c:v>5.4159664664094834E-3</c:v>
                </c:pt>
                <c:pt idx="105">
                  <c:v>8.0450054005393214E-3</c:v>
                </c:pt>
                <c:pt idx="106">
                  <c:v>8.5976549888075703E-3</c:v>
                </c:pt>
                <c:pt idx="107">
                  <c:v>7.5359233311224662E-3</c:v>
                </c:pt>
                <c:pt idx="108">
                  <c:v>3.8395610857026672E-3</c:v>
                </c:pt>
                <c:pt idx="109">
                  <c:v>1.5331772102966114E-3</c:v>
                </c:pt>
                <c:pt idx="110">
                  <c:v>2.2368528594786537E-3</c:v>
                </c:pt>
                <c:pt idx="111">
                  <c:v>2.5039743704515067E-3</c:v>
                </c:pt>
                <c:pt idx="112">
                  <c:v>8.3843355328460886E-4</c:v>
                </c:pt>
                <c:pt idx="113">
                  <c:v>9.409127998024689E-5</c:v>
                </c:pt>
                <c:pt idx="114">
                  <c:v>3.3008426704581439E-3</c:v>
                </c:pt>
                <c:pt idx="115">
                  <c:v>2.6850497683286473E-3</c:v>
                </c:pt>
                <c:pt idx="116">
                  <c:v>2.0804726845961201E-4</c:v>
                </c:pt>
                <c:pt idx="117">
                  <c:v>8.3306424382949436E-4</c:v>
                </c:pt>
                <c:pt idx="118">
                  <c:v>3.9125963955379672E-4</c:v>
                </c:pt>
                <c:pt idx="119">
                  <c:v>-9.8721755722786788E-4</c:v>
                </c:pt>
                <c:pt idx="120">
                  <c:v>-1.8034402764052241E-3</c:v>
                </c:pt>
                <c:pt idx="121">
                  <c:v>4.1868607828951418E-4</c:v>
                </c:pt>
                <c:pt idx="122">
                  <c:v>-8.6903193535214289E-4</c:v>
                </c:pt>
                <c:pt idx="123">
                  <c:v>-3.1061108246041775E-3</c:v>
                </c:pt>
                <c:pt idx="124">
                  <c:v>-1.3342529464620612E-3</c:v>
                </c:pt>
                <c:pt idx="125">
                  <c:v>-1.3346037760990771E-3</c:v>
                </c:pt>
                <c:pt idx="126">
                  <c:v>9.9893136283768112E-4</c:v>
                </c:pt>
                <c:pt idx="127">
                  <c:v>-1.2175317866855175E-3</c:v>
                </c:pt>
                <c:pt idx="128">
                  <c:v>-3.8448263830258354E-4</c:v>
                </c:pt>
                <c:pt idx="129">
                  <c:v>-1.2243062835503409E-3</c:v>
                </c:pt>
                <c:pt idx="130">
                  <c:v>-3.3494468497910067E-4</c:v>
                </c:pt>
                <c:pt idx="131">
                  <c:v>-1.2077847178562904E-3</c:v>
                </c:pt>
                <c:pt idx="132">
                  <c:v>3.5972690430588657E-4</c:v>
                </c:pt>
                <c:pt idx="133">
                  <c:v>1.4434498757705068E-4</c:v>
                </c:pt>
                <c:pt idx="134">
                  <c:v>8.7381383528880446E-4</c:v>
                </c:pt>
                <c:pt idx="135">
                  <c:v>-9.4012777217654679E-4</c:v>
                </c:pt>
                <c:pt idx="136">
                  <c:v>-3.2365828300330959E-4</c:v>
                </c:pt>
                <c:pt idx="137">
                  <c:v>-5.5378794160801208E-3</c:v>
                </c:pt>
                <c:pt idx="138">
                  <c:v>-5.0588204920180031E-3</c:v>
                </c:pt>
                <c:pt idx="139">
                  <c:v>-6.9974427219847346E-3</c:v>
                </c:pt>
                <c:pt idx="140">
                  <c:v>-3.48770070938131E-3</c:v>
                </c:pt>
                <c:pt idx="141">
                  <c:v>-6.9156568485186989E-3</c:v>
                </c:pt>
                <c:pt idx="142">
                  <c:v>-6.313212942055153E-3</c:v>
                </c:pt>
                <c:pt idx="143">
                  <c:v>-5.1824962781636865E-3</c:v>
                </c:pt>
                <c:pt idx="144">
                  <c:v>-6.5527021920600715E-3</c:v>
                </c:pt>
                <c:pt idx="145">
                  <c:v>-3.0461827779407636E-3</c:v>
                </c:pt>
                <c:pt idx="146">
                  <c:v>-3.8372895044305666E-3</c:v>
                </c:pt>
                <c:pt idx="147">
                  <c:v>-3.4743631474388552E-3</c:v>
                </c:pt>
                <c:pt idx="148">
                  <c:v>-1.760147533251097E-3</c:v>
                </c:pt>
                <c:pt idx="149">
                  <c:v>8.1109717532294647E-4</c:v>
                </c:pt>
                <c:pt idx="150">
                  <c:v>3.3723536054978231E-3</c:v>
                </c:pt>
                <c:pt idx="151">
                  <c:v>1.8711370175145548E-3</c:v>
                </c:pt>
                <c:pt idx="152">
                  <c:v>6.0930719933386887E-4</c:v>
                </c:pt>
                <c:pt idx="153">
                  <c:v>1.8342998120534325E-3</c:v>
                </c:pt>
                <c:pt idx="154">
                  <c:v>6.6737109318515987E-3</c:v>
                </c:pt>
                <c:pt idx="155">
                  <c:v>6.9173556285597772E-3</c:v>
                </c:pt>
                <c:pt idx="156">
                  <c:v>5.5664988752111245E-3</c:v>
                </c:pt>
                <c:pt idx="157">
                  <c:v>5.3818661239196149E-3</c:v>
                </c:pt>
                <c:pt idx="158">
                  <c:v>3.9041107184792424E-3</c:v>
                </c:pt>
                <c:pt idx="159">
                  <c:v>6.0103075472581818E-3</c:v>
                </c:pt>
                <c:pt idx="160">
                  <c:v>6.2696674428092238E-3</c:v>
                </c:pt>
                <c:pt idx="161">
                  <c:v>7.0693101516825603E-3</c:v>
                </c:pt>
                <c:pt idx="162">
                  <c:v>5.4499176271180843E-3</c:v>
                </c:pt>
                <c:pt idx="163">
                  <c:v>1.9381025008424562E-3</c:v>
                </c:pt>
                <c:pt idx="164">
                  <c:v>2.4018120458106679E-3</c:v>
                </c:pt>
                <c:pt idx="165">
                  <c:v>2.2640164076003313E-4</c:v>
                </c:pt>
                <c:pt idx="166">
                  <c:v>2.842955835853897E-4</c:v>
                </c:pt>
                <c:pt idx="167">
                  <c:v>-2.7149541535102274E-3</c:v>
                </c:pt>
                <c:pt idx="168">
                  <c:v>-3.9541507961459772E-4</c:v>
                </c:pt>
                <c:pt idx="169">
                  <c:v>-3.8581225072885326E-3</c:v>
                </c:pt>
                <c:pt idx="170">
                  <c:v>-5.5654988013258879E-3</c:v>
                </c:pt>
                <c:pt idx="171">
                  <c:v>-6.0265909900775001E-3</c:v>
                </c:pt>
                <c:pt idx="172">
                  <c:v>-3.8795754795086942E-3</c:v>
                </c:pt>
                <c:pt idx="173">
                  <c:v>-3.2060147726827074E-3</c:v>
                </c:pt>
                <c:pt idx="174">
                  <c:v>-5.6380851137817775E-3</c:v>
                </c:pt>
                <c:pt idx="175">
                  <c:v>-4.0530341120497302E-3</c:v>
                </c:pt>
                <c:pt idx="176">
                  <c:v>-4.2212050506106359E-3</c:v>
                </c:pt>
                <c:pt idx="177">
                  <c:v>-1.397689991915542E-3</c:v>
                </c:pt>
                <c:pt idx="178">
                  <c:v>2.6394980885674767E-4</c:v>
                </c:pt>
                <c:pt idx="179">
                  <c:v>-4.2821442562685713E-3</c:v>
                </c:pt>
                <c:pt idx="180">
                  <c:v>-5.2319913328369907E-3</c:v>
                </c:pt>
                <c:pt idx="181">
                  <c:v>-9.6094380537145481E-3</c:v>
                </c:pt>
                <c:pt idx="182">
                  <c:v>-9.974589904293037E-3</c:v>
                </c:pt>
                <c:pt idx="183">
                  <c:v>-1.0862123139402739E-2</c:v>
                </c:pt>
                <c:pt idx="184">
                  <c:v>-8.9283661676572493E-3</c:v>
                </c:pt>
                <c:pt idx="185">
                  <c:v>-1.2427443194426235E-2</c:v>
                </c:pt>
                <c:pt idx="186">
                  <c:v>-1.0598326423684983E-2</c:v>
                </c:pt>
                <c:pt idx="187">
                  <c:v>-1.075619400620614E-2</c:v>
                </c:pt>
                <c:pt idx="188">
                  <c:v>-1.3087921670449372E-2</c:v>
                </c:pt>
                <c:pt idx="189">
                  <c:v>-1.0336417574999594E-2</c:v>
                </c:pt>
                <c:pt idx="190">
                  <c:v>-9.2086825402856488E-3</c:v>
                </c:pt>
                <c:pt idx="191">
                  <c:v>-7.2360948510204288E-3</c:v>
                </c:pt>
                <c:pt idx="192">
                  <c:v>-6.8708267337500833E-3</c:v>
                </c:pt>
                <c:pt idx="193">
                  <c:v>-7.1095172346310959E-3</c:v>
                </c:pt>
                <c:pt idx="194">
                  <c:v>-3.3434682695906151E-3</c:v>
                </c:pt>
                <c:pt idx="195">
                  <c:v>4.9600802049429922E-4</c:v>
                </c:pt>
                <c:pt idx="196">
                  <c:v>-1.2571224649565699E-4</c:v>
                </c:pt>
                <c:pt idx="197">
                  <c:v>1.7090405347403468E-4</c:v>
                </c:pt>
                <c:pt idx="198">
                  <c:v>2.1123615480327135E-3</c:v>
                </c:pt>
                <c:pt idx="199">
                  <c:v>4.8239375790953935E-3</c:v>
                </c:pt>
                <c:pt idx="200">
                  <c:v>4.3872806435259508E-3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21-447A-B9DB-A30AC6129D84}"/>
            </c:ext>
          </c:extLst>
        </c:ser>
        <c:ser>
          <c:idx val="1"/>
          <c:order val="1"/>
          <c:tx>
            <c:strRef>
              <c:f>'2-factor HJM'!$G$9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'2-factor HJM'!$E$10:$E$210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'2-factor HJM'!$G$10:$G$210</c:f>
              <c:numCache>
                <c:formatCode>General</c:formatCode>
                <c:ptCount val="201"/>
                <c:pt idx="0" formatCode="0.00%">
                  <c:v>6.0000000000000001E-3</c:v>
                </c:pt>
                <c:pt idx="1">
                  <c:v>3.9227927256644786E-3</c:v>
                </c:pt>
                <c:pt idx="2">
                  <c:v>7.8730950725334797E-4</c:v>
                </c:pt>
                <c:pt idx="3">
                  <c:v>5.0693234525107391E-4</c:v>
                </c:pt>
                <c:pt idx="4">
                  <c:v>-3.2100776164722955E-3</c:v>
                </c:pt>
                <c:pt idx="5">
                  <c:v>-3.4077838734588896E-3</c:v>
                </c:pt>
                <c:pt idx="6">
                  <c:v>-4.5296160875038637E-3</c:v>
                </c:pt>
                <c:pt idx="7">
                  <c:v>-6.2388931002096189E-3</c:v>
                </c:pt>
                <c:pt idx="8">
                  <c:v>-6.3555289380132669E-3</c:v>
                </c:pt>
                <c:pt idx="9">
                  <c:v>-5.7352448654284811E-3</c:v>
                </c:pt>
                <c:pt idx="10">
                  <c:v>-3.0295546471743456E-3</c:v>
                </c:pt>
                <c:pt idx="11">
                  <c:v>-4.9946722450215024E-4</c:v>
                </c:pt>
                <c:pt idx="12">
                  <c:v>4.6466234167083734E-3</c:v>
                </c:pt>
                <c:pt idx="13">
                  <c:v>5.5108262380325736E-3</c:v>
                </c:pt>
                <c:pt idx="14">
                  <c:v>5.4897766620544556E-3</c:v>
                </c:pt>
                <c:pt idx="15">
                  <c:v>6.7879659099837533E-3</c:v>
                </c:pt>
                <c:pt idx="16">
                  <c:v>2.0124862778575598E-3</c:v>
                </c:pt>
                <c:pt idx="17">
                  <c:v>-5.7954905774959791E-5</c:v>
                </c:pt>
                <c:pt idx="18">
                  <c:v>1.9255538746905526E-3</c:v>
                </c:pt>
                <c:pt idx="19">
                  <c:v>3.5158911274110918E-3</c:v>
                </c:pt>
                <c:pt idx="20">
                  <c:v>4.2725896209829103E-3</c:v>
                </c:pt>
                <c:pt idx="21">
                  <c:v>4.2876997003117676E-3</c:v>
                </c:pt>
                <c:pt idx="22">
                  <c:v>6.393955021135129E-3</c:v>
                </c:pt>
                <c:pt idx="23">
                  <c:v>3.2101194375576975E-3</c:v>
                </c:pt>
                <c:pt idx="24">
                  <c:v>3.9579516283326033E-3</c:v>
                </c:pt>
                <c:pt idx="25">
                  <c:v>6.9966219840664244E-3</c:v>
                </c:pt>
                <c:pt idx="26">
                  <c:v>4.1330716077546629E-3</c:v>
                </c:pt>
                <c:pt idx="27">
                  <c:v>3.1510353394077935E-3</c:v>
                </c:pt>
                <c:pt idx="28">
                  <c:v>2.2683520490584092E-3</c:v>
                </c:pt>
                <c:pt idx="29">
                  <c:v>4.4658313919551879E-3</c:v>
                </c:pt>
                <c:pt idx="30">
                  <c:v>6.8847951864223645E-3</c:v>
                </c:pt>
                <c:pt idx="31">
                  <c:v>6.6499254691566381E-3</c:v>
                </c:pt>
                <c:pt idx="32">
                  <c:v>1.109056494446674E-2</c:v>
                </c:pt>
                <c:pt idx="33">
                  <c:v>1.1507183036275303E-2</c:v>
                </c:pt>
                <c:pt idx="34">
                  <c:v>1.3809873701149189E-2</c:v>
                </c:pt>
                <c:pt idx="35">
                  <c:v>1.431998935949488E-2</c:v>
                </c:pt>
                <c:pt idx="36">
                  <c:v>1.3757076431906566E-2</c:v>
                </c:pt>
                <c:pt idx="37">
                  <c:v>1.2404761756926775E-2</c:v>
                </c:pt>
                <c:pt idx="38">
                  <c:v>1.4397615649918778E-2</c:v>
                </c:pt>
                <c:pt idx="39">
                  <c:v>1.4732189812359204E-2</c:v>
                </c:pt>
                <c:pt idx="40">
                  <c:v>1.34621640437562E-2</c:v>
                </c:pt>
                <c:pt idx="41">
                  <c:v>1.2711793077985941E-2</c:v>
                </c:pt>
                <c:pt idx="42">
                  <c:v>1.2143966364361771E-2</c:v>
                </c:pt>
                <c:pt idx="43">
                  <c:v>1.2448146316013904E-2</c:v>
                </c:pt>
                <c:pt idx="44">
                  <c:v>1.1459508282193887E-2</c:v>
                </c:pt>
                <c:pt idx="45">
                  <c:v>8.7779448579516275E-3</c:v>
                </c:pt>
                <c:pt idx="46">
                  <c:v>1.2072989685861858E-2</c:v>
                </c:pt>
                <c:pt idx="47">
                  <c:v>1.1114724065448431E-2</c:v>
                </c:pt>
                <c:pt idx="48">
                  <c:v>1.3076595749888863E-2</c:v>
                </c:pt>
                <c:pt idx="49">
                  <c:v>1.3457739057992302E-2</c:v>
                </c:pt>
                <c:pt idx="50">
                  <c:v>1.3739634174470329E-2</c:v>
                </c:pt>
                <c:pt idx="51">
                  <c:v>1.2603503867617327E-2</c:v>
                </c:pt>
                <c:pt idx="52">
                  <c:v>1.1058659271268534E-2</c:v>
                </c:pt>
                <c:pt idx="53">
                  <c:v>9.6569048121803117E-3</c:v>
                </c:pt>
                <c:pt idx="54">
                  <c:v>6.3531218291331447E-3</c:v>
                </c:pt>
                <c:pt idx="55">
                  <c:v>6.4643041160316233E-3</c:v>
                </c:pt>
                <c:pt idx="56">
                  <c:v>6.6352839301610025E-3</c:v>
                </c:pt>
                <c:pt idx="57">
                  <c:v>7.6647359232368505E-3</c:v>
                </c:pt>
                <c:pt idx="58">
                  <c:v>9.2835643925744619E-3</c:v>
                </c:pt>
                <c:pt idx="59">
                  <c:v>1.13327507643984E-2</c:v>
                </c:pt>
                <c:pt idx="60">
                  <c:v>1.1095416139133535E-2</c:v>
                </c:pt>
                <c:pt idx="61">
                  <c:v>1.1297641309884712E-2</c:v>
                </c:pt>
                <c:pt idx="62">
                  <c:v>1.1480013963840394E-2</c:v>
                </c:pt>
                <c:pt idx="63">
                  <c:v>1.5018206376827709E-2</c:v>
                </c:pt>
                <c:pt idx="64">
                  <c:v>1.7614698435676705E-2</c:v>
                </c:pt>
                <c:pt idx="65">
                  <c:v>1.7103418665280777E-2</c:v>
                </c:pt>
                <c:pt idx="66">
                  <c:v>1.6264750393936149E-2</c:v>
                </c:pt>
                <c:pt idx="67">
                  <c:v>1.5214261458948511E-2</c:v>
                </c:pt>
                <c:pt idx="68">
                  <c:v>1.7622216693053971E-2</c:v>
                </c:pt>
                <c:pt idx="69">
                  <c:v>1.5920509112957358E-2</c:v>
                </c:pt>
                <c:pt idx="70">
                  <c:v>1.498036030925814E-2</c:v>
                </c:pt>
                <c:pt idx="71">
                  <c:v>1.5151948257738582E-2</c:v>
                </c:pt>
                <c:pt idx="72">
                  <c:v>1.7355295219759499E-2</c:v>
                </c:pt>
                <c:pt idx="73">
                  <c:v>1.8373341760537131E-2</c:v>
                </c:pt>
                <c:pt idx="74">
                  <c:v>2.0882972585529229E-2</c:v>
                </c:pt>
                <c:pt idx="75">
                  <c:v>2.0593825815439955E-2</c:v>
                </c:pt>
                <c:pt idx="76">
                  <c:v>1.9966874061329458E-2</c:v>
                </c:pt>
                <c:pt idx="77">
                  <c:v>2.0465843961199794E-2</c:v>
                </c:pt>
                <c:pt idx="78">
                  <c:v>1.8862206187182044E-2</c:v>
                </c:pt>
                <c:pt idx="79">
                  <c:v>1.5185197273523921E-2</c:v>
                </c:pt>
                <c:pt idx="80">
                  <c:v>1.6348934949627462E-2</c:v>
                </c:pt>
                <c:pt idx="81">
                  <c:v>1.7607949549346521E-2</c:v>
                </c:pt>
                <c:pt idx="82">
                  <c:v>1.3268715432190005E-2</c:v>
                </c:pt>
                <c:pt idx="83">
                  <c:v>1.7018210557236652E-2</c:v>
                </c:pt>
                <c:pt idx="84">
                  <c:v>1.4852804001164238E-2</c:v>
                </c:pt>
                <c:pt idx="85">
                  <c:v>1.2674204786685406E-2</c:v>
                </c:pt>
                <c:pt idx="86">
                  <c:v>1.2033314923521372E-2</c:v>
                </c:pt>
                <c:pt idx="87">
                  <c:v>1.2285745306726902E-2</c:v>
                </c:pt>
                <c:pt idx="88">
                  <c:v>1.3169644778567195E-2</c:v>
                </c:pt>
                <c:pt idx="89">
                  <c:v>1.3650612333214044E-2</c:v>
                </c:pt>
                <c:pt idx="90">
                  <c:v>1.3467309560384864E-2</c:v>
                </c:pt>
                <c:pt idx="91">
                  <c:v>1.7831951251512927E-2</c:v>
                </c:pt>
                <c:pt idx="92">
                  <c:v>1.8812073387261301E-2</c:v>
                </c:pt>
                <c:pt idx="93">
                  <c:v>1.8768808786813244E-2</c:v>
                </c:pt>
                <c:pt idx="94">
                  <c:v>1.8437476349443826E-2</c:v>
                </c:pt>
                <c:pt idx="95">
                  <c:v>1.9211478845067118E-2</c:v>
                </c:pt>
                <c:pt idx="96">
                  <c:v>1.4860508332388464E-2</c:v>
                </c:pt>
                <c:pt idx="97">
                  <c:v>1.447117030648064E-2</c:v>
                </c:pt>
                <c:pt idx="98">
                  <c:v>1.436519977488135E-2</c:v>
                </c:pt>
                <c:pt idx="99">
                  <c:v>1.4536224748386646E-2</c:v>
                </c:pt>
                <c:pt idx="100">
                  <c:v>1.3366544101882226E-2</c:v>
                </c:pt>
                <c:pt idx="101">
                  <c:v>1.240947986393604E-2</c:v>
                </c:pt>
                <c:pt idx="102">
                  <c:v>1.1940300094176388E-2</c:v>
                </c:pt>
                <c:pt idx="103">
                  <c:v>1.1373921575261098E-2</c:v>
                </c:pt>
                <c:pt idx="104">
                  <c:v>9.5485230233128392E-3</c:v>
                </c:pt>
                <c:pt idx="105">
                  <c:v>1.1947456113988246E-2</c:v>
                </c:pt>
                <c:pt idx="106">
                  <c:v>1.2412265734698988E-2</c:v>
                </c:pt>
                <c:pt idx="107">
                  <c:v>1.172274238195299E-2</c:v>
                </c:pt>
                <c:pt idx="108">
                  <c:v>8.1113851111433346E-3</c:v>
                </c:pt>
                <c:pt idx="109">
                  <c:v>5.7786820248010339E-3</c:v>
                </c:pt>
                <c:pt idx="110">
                  <c:v>6.3138642394358745E-3</c:v>
                </c:pt>
                <c:pt idx="111">
                  <c:v>6.2753742070412056E-3</c:v>
                </c:pt>
                <c:pt idx="112">
                  <c:v>4.6341836071588606E-3</c:v>
                </c:pt>
                <c:pt idx="113">
                  <c:v>3.8797716447043998E-3</c:v>
                </c:pt>
                <c:pt idx="114">
                  <c:v>7.0286252406666248E-3</c:v>
                </c:pt>
                <c:pt idx="115">
                  <c:v>6.4350173289625919E-3</c:v>
                </c:pt>
                <c:pt idx="116">
                  <c:v>4.1893023339526041E-3</c:v>
                </c:pt>
                <c:pt idx="117">
                  <c:v>4.8553367106842953E-3</c:v>
                </c:pt>
                <c:pt idx="118">
                  <c:v>4.5653685435409338E-3</c:v>
                </c:pt>
                <c:pt idx="119">
                  <c:v>3.4082608651011576E-3</c:v>
                </c:pt>
                <c:pt idx="120">
                  <c:v>2.5736491414510396E-3</c:v>
                </c:pt>
                <c:pt idx="121">
                  <c:v>4.7184065424140768E-3</c:v>
                </c:pt>
                <c:pt idx="122">
                  <c:v>3.6383878271212928E-3</c:v>
                </c:pt>
                <c:pt idx="123">
                  <c:v>1.2820701073111365E-3</c:v>
                </c:pt>
                <c:pt idx="124">
                  <c:v>2.7391280313145421E-3</c:v>
                </c:pt>
                <c:pt idx="125">
                  <c:v>2.9398327659646097E-3</c:v>
                </c:pt>
                <c:pt idx="126">
                  <c:v>5.3851561931338877E-3</c:v>
                </c:pt>
                <c:pt idx="127">
                  <c:v>3.1535709432247484E-3</c:v>
                </c:pt>
                <c:pt idx="128">
                  <c:v>4.0400777390272122E-3</c:v>
                </c:pt>
                <c:pt idx="129">
                  <c:v>3.2386766381010844E-3</c:v>
                </c:pt>
                <c:pt idx="130">
                  <c:v>4.0853815261689009E-3</c:v>
                </c:pt>
                <c:pt idx="131">
                  <c:v>3.1437894829691934E-3</c:v>
                </c:pt>
                <c:pt idx="132">
                  <c:v>4.9650133420355699E-3</c:v>
                </c:pt>
                <c:pt idx="133">
                  <c:v>4.6258385697662162E-3</c:v>
                </c:pt>
                <c:pt idx="134">
                  <c:v>5.612851429848271E-3</c:v>
                </c:pt>
                <c:pt idx="135">
                  <c:v>3.6155290763064461E-3</c:v>
                </c:pt>
                <c:pt idx="136">
                  <c:v>4.2602499573619473E-3</c:v>
                </c:pt>
                <c:pt idx="137">
                  <c:v>-7.0258510377121074E-4</c:v>
                </c:pt>
                <c:pt idx="138">
                  <c:v>3.9006723289818703E-5</c:v>
                </c:pt>
                <c:pt idx="139">
                  <c:v>-1.944508996486399E-3</c:v>
                </c:pt>
                <c:pt idx="140">
                  <c:v>1.3641638870260618E-3</c:v>
                </c:pt>
                <c:pt idx="141">
                  <c:v>-1.6388650404158096E-3</c:v>
                </c:pt>
                <c:pt idx="142">
                  <c:v>-8.4933832685195961E-4</c:v>
                </c:pt>
                <c:pt idx="143">
                  <c:v>2.6001289835553883E-4</c:v>
                </c:pt>
                <c:pt idx="144">
                  <c:v>-1.0365236792763328E-3</c:v>
                </c:pt>
                <c:pt idx="145">
                  <c:v>2.2692818806509876E-3</c:v>
                </c:pt>
                <c:pt idx="146">
                  <c:v>1.4631232448192113E-3</c:v>
                </c:pt>
                <c:pt idx="147">
                  <c:v>1.6602292646289373E-3</c:v>
                </c:pt>
                <c:pt idx="148">
                  <c:v>3.178945254606646E-3</c:v>
                </c:pt>
                <c:pt idx="149">
                  <c:v>5.8105015723782039E-3</c:v>
                </c:pt>
                <c:pt idx="150">
                  <c:v>8.2852424462049809E-3</c:v>
                </c:pt>
                <c:pt idx="151">
                  <c:v>6.6836841814943175E-3</c:v>
                </c:pt>
                <c:pt idx="152">
                  <c:v>5.7684037568198447E-3</c:v>
                </c:pt>
                <c:pt idx="153">
                  <c:v>7.0198022298465432E-3</c:v>
                </c:pt>
                <c:pt idx="154">
                  <c:v>1.1805046215247717E-2</c:v>
                </c:pt>
                <c:pt idx="155">
                  <c:v>1.2113042835804803E-2</c:v>
                </c:pt>
                <c:pt idx="156">
                  <c:v>1.099677512860681E-2</c:v>
                </c:pt>
                <c:pt idx="157">
                  <c:v>1.0723070272504673E-2</c:v>
                </c:pt>
                <c:pt idx="158">
                  <c:v>9.2143746756375485E-3</c:v>
                </c:pt>
                <c:pt idx="159">
                  <c:v>1.1189893767900871E-2</c:v>
                </c:pt>
                <c:pt idx="160">
                  <c:v>1.1587773782004844E-2</c:v>
                </c:pt>
                <c:pt idx="161">
                  <c:v>1.19061916851301E-2</c:v>
                </c:pt>
                <c:pt idx="162">
                  <c:v>1.03010857244306E-2</c:v>
                </c:pt>
                <c:pt idx="163">
                  <c:v>7.1130189622424364E-3</c:v>
                </c:pt>
                <c:pt idx="164">
                  <c:v>7.6939420713592497E-3</c:v>
                </c:pt>
                <c:pt idx="165">
                  <c:v>5.5934322385309534E-3</c:v>
                </c:pt>
                <c:pt idx="166">
                  <c:v>5.7150170805833692E-3</c:v>
                </c:pt>
                <c:pt idx="167">
                  <c:v>2.6787655079848899E-3</c:v>
                </c:pt>
                <c:pt idx="168">
                  <c:v>5.09235914148578E-3</c:v>
                </c:pt>
                <c:pt idx="169">
                  <c:v>1.9003329252812013E-3</c:v>
                </c:pt>
                <c:pt idx="170">
                  <c:v>3.6864588085243496E-4</c:v>
                </c:pt>
                <c:pt idx="171">
                  <c:v>7.4112511750650792E-5</c:v>
                </c:pt>
                <c:pt idx="172">
                  <c:v>2.2114639348593617E-3</c:v>
                </c:pt>
                <c:pt idx="173">
                  <c:v>3.0082538212499619E-3</c:v>
                </c:pt>
                <c:pt idx="174">
                  <c:v>5.3537456708951567E-4</c:v>
                </c:pt>
                <c:pt idx="175">
                  <c:v>1.9530727510583203E-3</c:v>
                </c:pt>
                <c:pt idx="176">
                  <c:v>1.8809595675684811E-3</c:v>
                </c:pt>
                <c:pt idx="177">
                  <c:v>4.3393254390465368E-3</c:v>
                </c:pt>
                <c:pt idx="178">
                  <c:v>5.8709622736353283E-3</c:v>
                </c:pt>
                <c:pt idx="179">
                  <c:v>1.6498672279116754E-3</c:v>
                </c:pt>
                <c:pt idx="180">
                  <c:v>6.670728587560552E-4</c:v>
                </c:pt>
                <c:pt idx="181">
                  <c:v>-3.5109235927356691E-3</c:v>
                </c:pt>
                <c:pt idx="182">
                  <c:v>-3.5099613148005891E-3</c:v>
                </c:pt>
                <c:pt idx="183">
                  <c:v>-4.305063719770191E-3</c:v>
                </c:pt>
                <c:pt idx="184">
                  <c:v>-2.3908121677573878E-3</c:v>
                </c:pt>
                <c:pt idx="185">
                  <c:v>-5.926818217626242E-3</c:v>
                </c:pt>
                <c:pt idx="186">
                  <c:v>-4.2045212294612661E-3</c:v>
                </c:pt>
                <c:pt idx="187">
                  <c:v>-4.4207502776634471E-3</c:v>
                </c:pt>
                <c:pt idx="188">
                  <c:v>-6.700583623133389E-3</c:v>
                </c:pt>
                <c:pt idx="189">
                  <c:v>-3.8861291393194023E-3</c:v>
                </c:pt>
                <c:pt idx="190">
                  <c:v>-2.8706562228481137E-3</c:v>
                </c:pt>
                <c:pt idx="191">
                  <c:v>-1.0525709968810732E-3</c:v>
                </c:pt>
                <c:pt idx="192">
                  <c:v>-4.973858914831767E-4</c:v>
                </c:pt>
                <c:pt idx="193">
                  <c:v>-7.2428536491891764E-4</c:v>
                </c:pt>
                <c:pt idx="194">
                  <c:v>3.031841712697382E-3</c:v>
                </c:pt>
                <c:pt idx="195">
                  <c:v>6.6489501342564478E-3</c:v>
                </c:pt>
                <c:pt idx="196">
                  <c:v>5.9842957547072634E-3</c:v>
                </c:pt>
                <c:pt idx="197">
                  <c:v>6.2421715960897343E-3</c:v>
                </c:pt>
                <c:pt idx="198">
                  <c:v>7.619279250008857E-3</c:v>
                </c:pt>
                <c:pt idx="199">
                  <c:v>1.0096401127199478E-2</c:v>
                </c:pt>
                <c:pt idx="200">
                  <c:v>9.7506441546146363E-3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21-447A-B9DB-A30AC6129D84}"/>
            </c:ext>
          </c:extLst>
        </c:ser>
        <c:ser>
          <c:idx val="2"/>
          <c:order val="2"/>
          <c:tx>
            <c:strRef>
              <c:f>'2-factor HJM'!$H$9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'2-factor HJM'!$E$10:$E$210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'2-factor HJM'!$H$10:$H$210</c:f>
              <c:numCache>
                <c:formatCode>General</c:formatCode>
                <c:ptCount val="201"/>
                <c:pt idx="0" formatCode="0.00%">
                  <c:v>7.4999999999999997E-3</c:v>
                </c:pt>
                <c:pt idx="1">
                  <c:v>5.7995300028891063E-3</c:v>
                </c:pt>
                <c:pt idx="2">
                  <c:v>2.9974827771396097E-3</c:v>
                </c:pt>
                <c:pt idx="3">
                  <c:v>3.1062325938405041E-3</c:v>
                </c:pt>
                <c:pt idx="4">
                  <c:v>-1.4634478353381196E-4</c:v>
                </c:pt>
                <c:pt idx="5">
                  <c:v>-5.9766683031861666E-4</c:v>
                </c:pt>
                <c:pt idx="6">
                  <c:v>-1.3295661875085943E-3</c:v>
                </c:pt>
                <c:pt idx="7">
                  <c:v>-2.8392790526337321E-3</c:v>
                </c:pt>
                <c:pt idx="8">
                  <c:v>-2.4575537690642896E-3</c:v>
                </c:pt>
                <c:pt idx="9">
                  <c:v>-1.4274669805548143E-3</c:v>
                </c:pt>
                <c:pt idx="10">
                  <c:v>7.4602888895989965E-4</c:v>
                </c:pt>
                <c:pt idx="11">
                  <c:v>2.5437976175854454E-3</c:v>
                </c:pt>
                <c:pt idx="12">
                  <c:v>7.6911817349956764E-3</c:v>
                </c:pt>
                <c:pt idx="13">
                  <c:v>8.9698093927273546E-3</c:v>
                </c:pt>
                <c:pt idx="14">
                  <c:v>9.3069161566018931E-3</c:v>
                </c:pt>
                <c:pt idx="15">
                  <c:v>1.0279205411025612E-2</c:v>
                </c:pt>
                <c:pt idx="16">
                  <c:v>5.7646494883073392E-3</c:v>
                </c:pt>
                <c:pt idx="17">
                  <c:v>3.4882609013625805E-3</c:v>
                </c:pt>
                <c:pt idx="18">
                  <c:v>5.380415631367712E-3</c:v>
                </c:pt>
                <c:pt idx="19">
                  <c:v>6.7339353307703355E-3</c:v>
                </c:pt>
                <c:pt idx="20">
                  <c:v>7.7786190461649361E-3</c:v>
                </c:pt>
                <c:pt idx="21">
                  <c:v>7.5123481893751677E-3</c:v>
                </c:pt>
                <c:pt idx="22">
                  <c:v>9.6984950943710402E-3</c:v>
                </c:pt>
                <c:pt idx="23">
                  <c:v>7.1146075927285678E-3</c:v>
                </c:pt>
                <c:pt idx="24">
                  <c:v>8.4429622363619526E-3</c:v>
                </c:pt>
                <c:pt idx="25">
                  <c:v>1.1699168753233286E-2</c:v>
                </c:pt>
                <c:pt idx="26">
                  <c:v>9.04311280331873E-3</c:v>
                </c:pt>
                <c:pt idx="27">
                  <c:v>8.0297680081688159E-3</c:v>
                </c:pt>
                <c:pt idx="28">
                  <c:v>7.4815647029028457E-3</c:v>
                </c:pt>
                <c:pt idx="29">
                  <c:v>8.9322873777055133E-3</c:v>
                </c:pt>
                <c:pt idx="30">
                  <c:v>1.1620347385351271E-2</c:v>
                </c:pt>
                <c:pt idx="31">
                  <c:v>1.1465188167147686E-2</c:v>
                </c:pt>
                <c:pt idx="32">
                  <c:v>1.575614320596264E-2</c:v>
                </c:pt>
                <c:pt idx="33">
                  <c:v>1.622144762790715E-2</c:v>
                </c:pt>
                <c:pt idx="34">
                  <c:v>1.9033382525597657E-2</c:v>
                </c:pt>
                <c:pt idx="35">
                  <c:v>1.9407234644871589E-2</c:v>
                </c:pt>
                <c:pt idx="36">
                  <c:v>1.8542579050645564E-2</c:v>
                </c:pt>
                <c:pt idx="37">
                  <c:v>1.7112063973217705E-2</c:v>
                </c:pt>
                <c:pt idx="38">
                  <c:v>1.9103460283618281E-2</c:v>
                </c:pt>
                <c:pt idx="39">
                  <c:v>1.9380127730004693E-2</c:v>
                </c:pt>
                <c:pt idx="40">
                  <c:v>1.7785913048292662E-2</c:v>
                </c:pt>
                <c:pt idx="41">
                  <c:v>1.708919640749703E-2</c:v>
                </c:pt>
                <c:pt idx="42">
                  <c:v>1.6961923340139261E-2</c:v>
                </c:pt>
                <c:pt idx="43">
                  <c:v>1.7272279507692972E-2</c:v>
                </c:pt>
                <c:pt idx="44">
                  <c:v>1.5703927044356556E-2</c:v>
                </c:pt>
                <c:pt idx="45">
                  <c:v>1.3334611322178157E-2</c:v>
                </c:pt>
                <c:pt idx="46">
                  <c:v>1.7351569240578697E-2</c:v>
                </c:pt>
                <c:pt idx="47">
                  <c:v>1.6849735087832281E-2</c:v>
                </c:pt>
                <c:pt idx="48">
                  <c:v>1.830120921895274E-2</c:v>
                </c:pt>
                <c:pt idx="49">
                  <c:v>1.8983333254744147E-2</c:v>
                </c:pt>
                <c:pt idx="50">
                  <c:v>1.956504573607588E-2</c:v>
                </c:pt>
                <c:pt idx="51">
                  <c:v>1.8566302559769834E-2</c:v>
                </c:pt>
                <c:pt idx="52">
                  <c:v>1.6987574389582333E-2</c:v>
                </c:pt>
                <c:pt idx="53">
                  <c:v>1.5441310510837329E-2</c:v>
                </c:pt>
                <c:pt idx="54">
                  <c:v>1.2087121612926783E-2</c:v>
                </c:pt>
                <c:pt idx="55">
                  <c:v>1.1987594147196105E-2</c:v>
                </c:pt>
                <c:pt idx="56">
                  <c:v>1.1996173913496014E-2</c:v>
                </c:pt>
                <c:pt idx="57">
                  <c:v>1.2652197723571469E-2</c:v>
                </c:pt>
                <c:pt idx="58">
                  <c:v>1.3944766897145425E-2</c:v>
                </c:pt>
                <c:pt idx="59">
                  <c:v>1.5615832742246443E-2</c:v>
                </c:pt>
                <c:pt idx="60">
                  <c:v>1.6139643233408916E-2</c:v>
                </c:pt>
                <c:pt idx="61">
                  <c:v>1.6371176589563823E-2</c:v>
                </c:pt>
                <c:pt idx="62">
                  <c:v>1.6203236780734095E-2</c:v>
                </c:pt>
                <c:pt idx="63">
                  <c:v>1.9567308240504889E-2</c:v>
                </c:pt>
                <c:pt idx="64">
                  <c:v>2.2233643034431809E-2</c:v>
                </c:pt>
                <c:pt idx="65">
                  <c:v>2.1795452755737712E-2</c:v>
                </c:pt>
                <c:pt idx="66">
                  <c:v>2.1418471776964789E-2</c:v>
                </c:pt>
                <c:pt idx="67">
                  <c:v>2.0587376879847654E-2</c:v>
                </c:pt>
                <c:pt idx="68">
                  <c:v>2.3003713701630138E-2</c:v>
                </c:pt>
                <c:pt idx="69">
                  <c:v>2.1275407112854385E-2</c:v>
                </c:pt>
                <c:pt idx="70">
                  <c:v>2.0226672797643171E-2</c:v>
                </c:pt>
                <c:pt idx="71">
                  <c:v>2.0534748384257825E-2</c:v>
                </c:pt>
                <c:pt idx="72">
                  <c:v>2.2178335930881511E-2</c:v>
                </c:pt>
                <c:pt idx="73">
                  <c:v>2.3551678869646684E-2</c:v>
                </c:pt>
                <c:pt idx="74">
                  <c:v>2.6094218115867446E-2</c:v>
                </c:pt>
                <c:pt idx="75">
                  <c:v>2.6023660368838988E-2</c:v>
                </c:pt>
                <c:pt idx="76">
                  <c:v>2.5923323570258481E-2</c:v>
                </c:pt>
                <c:pt idx="77">
                  <c:v>2.6628965587363839E-2</c:v>
                </c:pt>
                <c:pt idx="78">
                  <c:v>2.5144266427290625E-2</c:v>
                </c:pt>
                <c:pt idx="79">
                  <c:v>2.1632263990650945E-2</c:v>
                </c:pt>
                <c:pt idx="80">
                  <c:v>2.2932025357806363E-2</c:v>
                </c:pt>
                <c:pt idx="81">
                  <c:v>2.4123141774006662E-2</c:v>
                </c:pt>
                <c:pt idx="82">
                  <c:v>2.0308418975319535E-2</c:v>
                </c:pt>
                <c:pt idx="83">
                  <c:v>2.391359312170652E-2</c:v>
                </c:pt>
                <c:pt idx="84">
                  <c:v>2.2046210363395193E-2</c:v>
                </c:pt>
                <c:pt idx="85">
                  <c:v>2.0161076983418118E-2</c:v>
                </c:pt>
                <c:pt idx="86">
                  <c:v>1.9752041268960015E-2</c:v>
                </c:pt>
                <c:pt idx="87">
                  <c:v>1.9933058230687306E-2</c:v>
                </c:pt>
                <c:pt idx="88">
                  <c:v>2.1073599414985447E-2</c:v>
                </c:pt>
                <c:pt idx="89">
                  <c:v>2.1372588802270338E-2</c:v>
                </c:pt>
                <c:pt idx="90">
                  <c:v>2.1452399681577351E-2</c:v>
                </c:pt>
                <c:pt idx="91">
                  <c:v>2.4784021791524519E-2</c:v>
                </c:pt>
                <c:pt idx="92">
                  <c:v>2.5623818695535951E-2</c:v>
                </c:pt>
                <c:pt idx="93">
                  <c:v>2.555216116880123E-2</c:v>
                </c:pt>
                <c:pt idx="94">
                  <c:v>2.5392521657810623E-2</c:v>
                </c:pt>
                <c:pt idx="95">
                  <c:v>2.6671236247828495E-2</c:v>
                </c:pt>
                <c:pt idx="96">
                  <c:v>2.285617135208233E-2</c:v>
                </c:pt>
                <c:pt idx="97">
                  <c:v>2.2634409793889858E-2</c:v>
                </c:pt>
                <c:pt idx="98">
                  <c:v>2.219761285716406E-2</c:v>
                </c:pt>
                <c:pt idx="99">
                  <c:v>2.2113561283452272E-2</c:v>
                </c:pt>
                <c:pt idx="100">
                  <c:v>2.151042629437085E-2</c:v>
                </c:pt>
                <c:pt idx="101">
                  <c:v>2.0525599856435154E-2</c:v>
                </c:pt>
                <c:pt idx="102">
                  <c:v>2.0001420501795684E-2</c:v>
                </c:pt>
                <c:pt idx="103">
                  <c:v>1.9165995986115923E-2</c:v>
                </c:pt>
                <c:pt idx="104">
                  <c:v>1.7297438029122484E-2</c:v>
                </c:pt>
                <c:pt idx="105">
                  <c:v>1.9227783694276177E-2</c:v>
                </c:pt>
                <c:pt idx="106">
                  <c:v>1.9508529803188096E-2</c:v>
                </c:pt>
                <c:pt idx="107">
                  <c:v>1.9555038299727441E-2</c:v>
                </c:pt>
                <c:pt idx="108">
                  <c:v>1.6105314254886018E-2</c:v>
                </c:pt>
                <c:pt idx="109">
                  <c:v>1.3711614161851033E-2</c:v>
                </c:pt>
                <c:pt idx="110">
                  <c:v>1.3901472285549091E-2</c:v>
                </c:pt>
                <c:pt idx="111">
                  <c:v>1.3243447415843535E-2</c:v>
                </c:pt>
                <c:pt idx="112">
                  <c:v>1.1642677066914721E-2</c:v>
                </c:pt>
                <c:pt idx="113">
                  <c:v>1.0859885733867942E-2</c:v>
                </c:pt>
                <c:pt idx="114">
                  <c:v>1.3884757623522703E-2</c:v>
                </c:pt>
                <c:pt idx="115">
                  <c:v>1.332740060514208E-2</c:v>
                </c:pt>
                <c:pt idx="116">
                  <c:v>1.1536221253841435E-2</c:v>
                </c:pt>
                <c:pt idx="117">
                  <c:v>1.2276341435237559E-2</c:v>
                </c:pt>
                <c:pt idx="118">
                  <c:v>1.2282197170254975E-2</c:v>
                </c:pt>
                <c:pt idx="119">
                  <c:v>1.1560085553063646E-2</c:v>
                </c:pt>
                <c:pt idx="120">
                  <c:v>1.068106311966961E-2</c:v>
                </c:pt>
                <c:pt idx="121">
                  <c:v>1.2663561518017325E-2</c:v>
                </c:pt>
                <c:pt idx="122">
                  <c:v>1.1991529880634592E-2</c:v>
                </c:pt>
                <c:pt idx="123">
                  <c:v>9.3894316759209444E-3</c:v>
                </c:pt>
                <c:pt idx="124">
                  <c:v>1.0209694907982417E-2</c:v>
                </c:pt>
                <c:pt idx="125">
                  <c:v>1.0805420418316031E-2</c:v>
                </c:pt>
                <c:pt idx="126">
                  <c:v>1.346733498679922E-2</c:v>
                </c:pt>
                <c:pt idx="127">
                  <c:v>1.1198630310351275E-2</c:v>
                </c:pt>
                <c:pt idx="128">
                  <c:v>1.2185288366000477E-2</c:v>
                </c:pt>
                <c:pt idx="129">
                  <c:v>1.1454076849699693E-2</c:v>
                </c:pt>
                <c:pt idx="130">
                  <c:v>1.2208920663336304E-2</c:v>
                </c:pt>
                <c:pt idx="131">
                  <c:v>1.1123382684806159E-2</c:v>
                </c:pt>
                <c:pt idx="132">
                  <c:v>1.3445692781991881E-2</c:v>
                </c:pt>
                <c:pt idx="133">
                  <c:v>1.2852696169390103E-2</c:v>
                </c:pt>
                <c:pt idx="134">
                  <c:v>1.4348663483242749E-2</c:v>
                </c:pt>
                <c:pt idx="135">
                  <c:v>1.1978543301305898E-2</c:v>
                </c:pt>
                <c:pt idx="136">
                  <c:v>1.2673825598499559E-2</c:v>
                </c:pt>
                <c:pt idx="137">
                  <c:v>8.2079090049680184E-3</c:v>
                </c:pt>
                <c:pt idx="138">
                  <c:v>9.4687987882615936E-3</c:v>
                </c:pt>
                <c:pt idx="139">
                  <c:v>7.3898115423504489E-3</c:v>
                </c:pt>
                <c:pt idx="140">
                  <c:v>1.0290741278994734E-2</c:v>
                </c:pt>
                <c:pt idx="141">
                  <c:v>8.1320331403109593E-3</c:v>
                </c:pt>
                <c:pt idx="142">
                  <c:v>9.2902577459476471E-3</c:v>
                </c:pt>
                <c:pt idx="143">
                  <c:v>1.0351473214586172E-2</c:v>
                </c:pt>
                <c:pt idx="144">
                  <c:v>9.1969248369482733E-3</c:v>
                </c:pt>
                <c:pt idx="145">
                  <c:v>1.2095995372720703E-2</c:v>
                </c:pt>
                <c:pt idx="146">
                  <c:v>1.1254458622967811E-2</c:v>
                </c:pt>
                <c:pt idx="147">
                  <c:v>1.1114673372575833E-2</c:v>
                </c:pt>
                <c:pt idx="148">
                  <c:v>1.2237156758147152E-2</c:v>
                </c:pt>
                <c:pt idx="149">
                  <c:v>1.4984115501752323E-2</c:v>
                </c:pt>
                <c:pt idx="150">
                  <c:v>1.728061607217379E-2</c:v>
                </c:pt>
                <c:pt idx="151">
                  <c:v>1.5473178931763731E-2</c:v>
                </c:pt>
                <c:pt idx="152">
                  <c:v>1.5245814865660103E-2</c:v>
                </c:pt>
                <c:pt idx="153">
                  <c:v>1.6544855555184822E-2</c:v>
                </c:pt>
                <c:pt idx="154">
                  <c:v>2.1216611681942686E-2</c:v>
                </c:pt>
                <c:pt idx="155">
                  <c:v>2.1648171739509378E-2</c:v>
                </c:pt>
                <c:pt idx="156">
                  <c:v>2.0995951511330702E-2</c:v>
                </c:pt>
                <c:pt idx="157">
                  <c:v>2.0538976936683301E-2</c:v>
                </c:pt>
                <c:pt idx="158">
                  <c:v>1.8963275359617421E-2</c:v>
                </c:pt>
                <c:pt idx="159">
                  <c:v>2.0672305481345899E-2</c:v>
                </c:pt>
                <c:pt idx="160">
                  <c:v>2.1342079561064698E-2</c:v>
                </c:pt>
                <c:pt idx="161">
                  <c:v>2.0692886682135984E-2</c:v>
                </c:pt>
                <c:pt idx="162">
                  <c:v>1.9111177179416836E-2</c:v>
                </c:pt>
                <c:pt idx="163">
                  <c:v>1.6565412213950571E-2</c:v>
                </c:pt>
                <c:pt idx="164">
                  <c:v>1.7375555773661653E-2</c:v>
                </c:pt>
                <c:pt idx="165">
                  <c:v>1.5419635645315224E-2</c:v>
                </c:pt>
                <c:pt idx="166">
                  <c:v>1.5663388836432288E-2</c:v>
                </c:pt>
                <c:pt idx="167">
                  <c:v>1.2547918489643803E-2</c:v>
                </c:pt>
                <c:pt idx="168">
                  <c:v>1.5144405144544605E-2</c:v>
                </c:pt>
                <c:pt idx="169">
                  <c:v>1.2488524000346753E-2</c:v>
                </c:pt>
                <c:pt idx="170">
                  <c:v>1.1302999574083988E-2</c:v>
                </c:pt>
                <c:pt idx="171">
                  <c:v>1.1336369021851891E-2</c:v>
                </c:pt>
                <c:pt idx="172">
                  <c:v>1.344917560357905E-2</c:v>
                </c:pt>
                <c:pt idx="173">
                  <c:v>1.4487200910562116E-2</c:v>
                </c:pt>
                <c:pt idx="174">
                  <c:v>1.192746824280044E-2</c:v>
                </c:pt>
                <c:pt idx="175">
                  <c:v>1.3005206142106311E-2</c:v>
                </c:pt>
                <c:pt idx="176">
                  <c:v>1.3119926771106516E-2</c:v>
                </c:pt>
                <c:pt idx="177">
                  <c:v>1.4842681183945168E-2</c:v>
                </c:pt>
                <c:pt idx="178">
                  <c:v>1.6108966414226093E-2</c:v>
                </c:pt>
                <c:pt idx="179">
                  <c:v>1.2532488908278447E-2</c:v>
                </c:pt>
                <c:pt idx="180">
                  <c:v>1.1478388252506027E-2</c:v>
                </c:pt>
                <c:pt idx="181">
                  <c:v>7.6938545943260285E-3</c:v>
                </c:pt>
                <c:pt idx="182">
                  <c:v>8.421583194523935E-3</c:v>
                </c:pt>
                <c:pt idx="183">
                  <c:v>7.8058596918731517E-3</c:v>
                </c:pt>
                <c:pt idx="184">
                  <c:v>9.6755993092627925E-3</c:v>
                </c:pt>
                <c:pt idx="185">
                  <c:v>6.0602118400647767E-3</c:v>
                </c:pt>
                <c:pt idx="186">
                  <c:v>7.5633194160653044E-3</c:v>
                </c:pt>
                <c:pt idx="187">
                  <c:v>7.2247870474359335E-3</c:v>
                </c:pt>
                <c:pt idx="188">
                  <c:v>5.0431311958906311E-3</c:v>
                </c:pt>
                <c:pt idx="189">
                  <c:v>7.9778457678135999E-3</c:v>
                </c:pt>
                <c:pt idx="190">
                  <c:v>8.7631270222533805E-3</c:v>
                </c:pt>
                <c:pt idx="191">
                  <c:v>1.0266516674184573E-2</c:v>
                </c:pt>
                <c:pt idx="192">
                  <c:v>1.1195822634442279E-2</c:v>
                </c:pt>
                <c:pt idx="193">
                  <c:v>1.0986772199256575E-2</c:v>
                </c:pt>
                <c:pt idx="194">
                  <c:v>1.4717307056033992E-2</c:v>
                </c:pt>
                <c:pt idx="195">
                  <c:v>1.7883916542972451E-2</c:v>
                </c:pt>
                <c:pt idx="196">
                  <c:v>1.7127617004104038E-2</c:v>
                </c:pt>
                <c:pt idx="197">
                  <c:v>1.730222047396493E-2</c:v>
                </c:pt>
                <c:pt idx="198">
                  <c:v>1.7544824026541176E-2</c:v>
                </c:pt>
                <c:pt idx="199">
                  <c:v>1.954722326787512E-2</c:v>
                </c:pt>
                <c:pt idx="200">
                  <c:v>1.9377445718516156E-2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21-447A-B9DB-A30AC6129D84}"/>
            </c:ext>
          </c:extLst>
        </c:ser>
        <c:ser>
          <c:idx val="3"/>
          <c:order val="3"/>
          <c:tx>
            <c:strRef>
              <c:f>'2-factor HJM'!$I$9</c:f>
              <c:strCache>
                <c:ptCount val="1"/>
                <c:pt idx="0">
                  <c:v>5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'2-factor HJM'!$E$10:$E$210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'2-factor HJM'!$I$10:$I$210</c:f>
              <c:numCache>
                <c:formatCode>General</c:formatCode>
                <c:ptCount val="201"/>
                <c:pt idx="0" formatCode="0.00%">
                  <c:v>0.01</c:v>
                </c:pt>
                <c:pt idx="1">
                  <c:v>8.6379002801137347E-3</c:v>
                </c:pt>
                <c:pt idx="2">
                  <c:v>6.1319001876508732E-3</c:v>
                </c:pt>
                <c:pt idx="3">
                  <c:v>6.5932694113597385E-3</c:v>
                </c:pt>
                <c:pt idx="4">
                  <c:v>3.7694484411679163E-3</c:v>
                </c:pt>
                <c:pt idx="5">
                  <c:v>3.0295263578421199E-3</c:v>
                </c:pt>
                <c:pt idx="6">
                  <c:v>2.6531943510997554E-3</c:v>
                </c:pt>
                <c:pt idx="7">
                  <c:v>1.3094016795071096E-3</c:v>
                </c:pt>
                <c:pt idx="8">
                  <c:v>2.1564510969037335E-3</c:v>
                </c:pt>
                <c:pt idx="9">
                  <c:v>3.5638859308510479E-3</c:v>
                </c:pt>
                <c:pt idx="10">
                  <c:v>5.1731430855309251E-3</c:v>
                </c:pt>
                <c:pt idx="11">
                  <c:v>6.2068107334999094E-3</c:v>
                </c:pt>
                <c:pt idx="12">
                  <c:v>1.1324117681030331E-2</c:v>
                </c:pt>
                <c:pt idx="13">
                  <c:v>1.2986428271721168E-2</c:v>
                </c:pt>
                <c:pt idx="14">
                  <c:v>1.3651449794639383E-2</c:v>
                </c:pt>
                <c:pt idx="15">
                  <c:v>1.4267933889076097E-2</c:v>
                </c:pt>
                <c:pt idx="16">
                  <c:v>9.9846211502981341E-3</c:v>
                </c:pt>
                <c:pt idx="17">
                  <c:v>7.4729390486276892E-3</c:v>
                </c:pt>
                <c:pt idx="18">
                  <c:v>9.2447697747508831E-3</c:v>
                </c:pt>
                <c:pt idx="19">
                  <c:v>1.0333018448786776E-2</c:v>
                </c:pt>
                <c:pt idx="20">
                  <c:v>1.1637738580056685E-2</c:v>
                </c:pt>
                <c:pt idx="21">
                  <c:v>1.106269347177944E-2</c:v>
                </c:pt>
                <c:pt idx="22">
                  <c:v>1.3301771740618766E-2</c:v>
                </c:pt>
                <c:pt idx="23">
                  <c:v>1.1291414676496461E-2</c:v>
                </c:pt>
                <c:pt idx="24">
                  <c:v>1.3174335550691788E-2</c:v>
                </c:pt>
                <c:pt idx="25">
                  <c:v>1.6622450386846482E-2</c:v>
                </c:pt>
                <c:pt idx="26">
                  <c:v>1.4148372837129213E-2</c:v>
                </c:pt>
                <c:pt idx="27">
                  <c:v>1.3078186168033237E-2</c:v>
                </c:pt>
                <c:pt idx="28">
                  <c:v>1.2838942167286753E-2</c:v>
                </c:pt>
                <c:pt idx="29">
                  <c:v>1.351746782361456E-2</c:v>
                </c:pt>
                <c:pt idx="30">
                  <c:v>1.644919236056026E-2</c:v>
                </c:pt>
                <c:pt idx="31">
                  <c:v>1.6348568281141253E-2</c:v>
                </c:pt>
                <c:pt idx="32">
                  <c:v>2.0464778230484315E-2</c:v>
                </c:pt>
                <c:pt idx="33">
                  <c:v>2.0953824942953923E-2</c:v>
                </c:pt>
                <c:pt idx="34">
                  <c:v>2.4250144555834616E-2</c:v>
                </c:pt>
                <c:pt idx="35">
                  <c:v>2.446295659717428E-2</c:v>
                </c:pt>
                <c:pt idx="36">
                  <c:v>2.3271649117623163E-2</c:v>
                </c:pt>
                <c:pt idx="37">
                  <c:v>2.1737968264452553E-2</c:v>
                </c:pt>
                <c:pt idx="38">
                  <c:v>2.3703044187816342E-2</c:v>
                </c:pt>
                <c:pt idx="39">
                  <c:v>2.3897132258363332E-2</c:v>
                </c:pt>
                <c:pt idx="40">
                  <c:v>2.1954216671477605E-2</c:v>
                </c:pt>
                <c:pt idx="41">
                  <c:v>2.1286837074051861E-2</c:v>
                </c:pt>
                <c:pt idx="42">
                  <c:v>2.1576163434327032E-2</c:v>
                </c:pt>
                <c:pt idx="43">
                  <c:v>2.1869112284799829E-2</c:v>
                </c:pt>
                <c:pt idx="44">
                  <c:v>1.9697694413362124E-2</c:v>
                </c:pt>
                <c:pt idx="45">
                  <c:v>1.7617513660037942E-2</c:v>
                </c:pt>
                <c:pt idx="46">
                  <c:v>2.2333759925687691E-2</c:v>
                </c:pt>
                <c:pt idx="47">
                  <c:v>2.2266173305991139E-2</c:v>
                </c:pt>
                <c:pt idx="48">
                  <c:v>2.3185163984191067E-2</c:v>
                </c:pt>
                <c:pt idx="49">
                  <c:v>2.4146161540648057E-2</c:v>
                </c:pt>
                <c:pt idx="50">
                  <c:v>2.5005728335946099E-2</c:v>
                </c:pt>
                <c:pt idx="51">
                  <c:v>2.4122453938268631E-2</c:v>
                </c:pt>
                <c:pt idx="52">
                  <c:v>2.2487878019324722E-2</c:v>
                </c:pt>
                <c:pt idx="53">
                  <c:v>2.0775104133264898E-2</c:v>
                </c:pt>
                <c:pt idx="54">
                  <c:v>1.734855350412233E-2</c:v>
                </c:pt>
                <c:pt idx="55">
                  <c:v>1.7016517921753016E-2</c:v>
                </c:pt>
                <c:pt idx="56">
                  <c:v>1.6841175748185274E-2</c:v>
                </c:pt>
                <c:pt idx="57">
                  <c:v>1.7102610071337523E-2</c:v>
                </c:pt>
                <c:pt idx="58">
                  <c:v>1.8048178732517496E-2</c:v>
                </c:pt>
                <c:pt idx="59">
                  <c:v>1.9320913278180984E-2</c:v>
                </c:pt>
                <c:pt idx="60">
                  <c:v>2.0586259647561351E-2</c:v>
                </c:pt>
                <c:pt idx="61">
                  <c:v>2.0828167497275993E-2</c:v>
                </c:pt>
                <c:pt idx="62">
                  <c:v>2.0291369878574109E-2</c:v>
                </c:pt>
                <c:pt idx="63">
                  <c:v>2.346314757186219E-2</c:v>
                </c:pt>
                <c:pt idx="64">
                  <c:v>2.6181647612326553E-2</c:v>
                </c:pt>
                <c:pt idx="65">
                  <c:v>2.5799331538096288E-2</c:v>
                </c:pt>
                <c:pt idx="66">
                  <c:v>2.5867188186883099E-2</c:v>
                </c:pt>
                <c:pt idx="67">
                  <c:v>2.5238988670006152E-2</c:v>
                </c:pt>
                <c:pt idx="68">
                  <c:v>2.7647412579641754E-2</c:v>
                </c:pt>
                <c:pt idx="69">
                  <c:v>2.5876371647979592E-2</c:v>
                </c:pt>
                <c:pt idx="70">
                  <c:v>2.47030232430956E-2</c:v>
                </c:pt>
                <c:pt idx="71">
                  <c:v>2.5131730730858531E-2</c:v>
                </c:pt>
                <c:pt idx="72">
                  <c:v>2.6199948466105644E-2</c:v>
                </c:pt>
                <c:pt idx="73">
                  <c:v>2.7913173863669816E-2</c:v>
                </c:pt>
                <c:pt idx="74">
                  <c:v>3.0473559502540978E-2</c:v>
                </c:pt>
                <c:pt idx="75">
                  <c:v>3.0606724072856879E-2</c:v>
                </c:pt>
                <c:pt idx="76">
                  <c:v>3.1018263173285977E-2</c:v>
                </c:pt>
                <c:pt idx="77">
                  <c:v>3.1915904867425453E-2</c:v>
                </c:pt>
                <c:pt idx="78">
                  <c:v>3.0535377902064943E-2</c:v>
                </c:pt>
                <c:pt idx="79">
                  <c:v>2.7173458732341622E-2</c:v>
                </c:pt>
                <c:pt idx="80">
                  <c:v>2.8594189391887296E-2</c:v>
                </c:pt>
                <c:pt idx="81">
                  <c:v>2.9702281374100449E-2</c:v>
                </c:pt>
                <c:pt idx="82">
                  <c:v>2.6396817074673867E-2</c:v>
                </c:pt>
                <c:pt idx="83">
                  <c:v>2.9842311188694043E-2</c:v>
                </c:pt>
                <c:pt idx="84">
                  <c:v>2.8257431372438982E-2</c:v>
                </c:pt>
                <c:pt idx="85">
                  <c:v>2.6650069443656135E-2</c:v>
                </c:pt>
                <c:pt idx="86">
                  <c:v>2.6456996703097129E-2</c:v>
                </c:pt>
                <c:pt idx="87">
                  <c:v>2.6550492670462826E-2</c:v>
                </c:pt>
                <c:pt idx="88">
                  <c:v>2.7931317357504266E-2</c:v>
                </c:pt>
                <c:pt idx="89">
                  <c:v>2.8031775509444537E-2</c:v>
                </c:pt>
                <c:pt idx="90">
                  <c:v>2.8357870019888563E-2</c:v>
                </c:pt>
                <c:pt idx="91">
                  <c:v>3.0639457932261145E-2</c:v>
                </c:pt>
                <c:pt idx="92">
                  <c:v>3.1321672592106775E-2</c:v>
                </c:pt>
                <c:pt idx="93">
                  <c:v>3.1204424927565366E-2</c:v>
                </c:pt>
                <c:pt idx="94">
                  <c:v>3.1199385562319538E-2</c:v>
                </c:pt>
                <c:pt idx="95">
                  <c:v>3.2965850670549059E-2</c:v>
                </c:pt>
                <c:pt idx="96">
                  <c:v>2.9669820657645788E-2</c:v>
                </c:pt>
                <c:pt idx="97">
                  <c:v>2.9598669315354587E-2</c:v>
                </c:pt>
                <c:pt idx="98">
                  <c:v>2.8813926192484147E-2</c:v>
                </c:pt>
                <c:pt idx="99">
                  <c:v>2.8457504975860512E-2</c:v>
                </c:pt>
                <c:pt idx="100">
                  <c:v>2.8403604467553918E-2</c:v>
                </c:pt>
                <c:pt idx="101">
                  <c:v>2.7373797940407778E-2</c:v>
                </c:pt>
                <c:pt idx="102">
                  <c:v>2.6777334509596146E-2</c:v>
                </c:pt>
                <c:pt idx="103">
                  <c:v>2.5655573009629846E-2</c:v>
                </c:pt>
                <c:pt idx="104">
                  <c:v>2.3726612274423929E-2</c:v>
                </c:pt>
                <c:pt idx="105">
                  <c:v>2.5171305513992114E-2</c:v>
                </c:pt>
                <c:pt idx="106">
                  <c:v>2.5251173601374865E-2</c:v>
                </c:pt>
                <c:pt idx="107">
                  <c:v>2.6017265919646374E-2</c:v>
                </c:pt>
                <c:pt idx="108">
                  <c:v>2.271314719154352E-2</c:v>
                </c:pt>
                <c:pt idx="109">
                  <c:v>2.0242587441288065E-2</c:v>
                </c:pt>
                <c:pt idx="110">
                  <c:v>2.007146588102619E-2</c:v>
                </c:pt>
                <c:pt idx="111">
                  <c:v>1.8778545351268706E-2</c:v>
                </c:pt>
                <c:pt idx="112">
                  <c:v>1.7203242539000553E-2</c:v>
                </c:pt>
                <c:pt idx="113">
                  <c:v>1.6377746851417081E-2</c:v>
                </c:pt>
                <c:pt idx="114">
                  <c:v>1.9264945990156466E-2</c:v>
                </c:pt>
                <c:pt idx="115">
                  <c:v>1.8730790550794702E-2</c:v>
                </c:pt>
                <c:pt idx="116">
                  <c:v>1.7381682829168764E-2</c:v>
                </c:pt>
                <c:pt idx="117">
                  <c:v>1.8183991857322435E-2</c:v>
                </c:pt>
                <c:pt idx="118">
                  <c:v>1.847421341703543E-2</c:v>
                </c:pt>
                <c:pt idx="119">
                  <c:v>1.8176022895699154E-2</c:v>
                </c:pt>
                <c:pt idx="120">
                  <c:v>1.7241788576823531E-2</c:v>
                </c:pt>
                <c:pt idx="121">
                  <c:v>1.9051368836821143E-2</c:v>
                </c:pt>
                <c:pt idx="122">
                  <c:v>1.8776849039790822E-2</c:v>
                </c:pt>
                <c:pt idx="123">
                  <c:v>1.5918686307508596E-2</c:v>
                </c:pt>
                <c:pt idx="124">
                  <c:v>1.6091942511254845E-2</c:v>
                </c:pt>
                <c:pt idx="125">
                  <c:v>1.7072704801070444E-2</c:v>
                </c:pt>
                <c:pt idx="126">
                  <c:v>1.9941648015933587E-2</c:v>
                </c:pt>
                <c:pt idx="127">
                  <c:v>1.7626521092396867E-2</c:v>
                </c:pt>
                <c:pt idx="128">
                  <c:v>1.8704143576884446E-2</c:v>
                </c:pt>
                <c:pt idx="129">
                  <c:v>1.8034124660915481E-2</c:v>
                </c:pt>
                <c:pt idx="130">
                  <c:v>1.8688241642830471E-2</c:v>
                </c:pt>
                <c:pt idx="131">
                  <c:v>1.7450021059452953E-2</c:v>
                </c:pt>
                <c:pt idx="132">
                  <c:v>2.0264825180886556E-2</c:v>
                </c:pt>
                <c:pt idx="133">
                  <c:v>1.9409636800704774E-2</c:v>
                </c:pt>
                <c:pt idx="134">
                  <c:v>2.140618081550523E-2</c:v>
                </c:pt>
                <c:pt idx="135">
                  <c:v>1.865498887731748E-2</c:v>
                </c:pt>
                <c:pt idx="136">
                  <c:v>1.9392457509023759E-2</c:v>
                </c:pt>
                <c:pt idx="137">
                  <c:v>1.5415185091338881E-2</c:v>
                </c:pt>
                <c:pt idx="138">
                  <c:v>1.7187169261307419E-2</c:v>
                </c:pt>
                <c:pt idx="139">
                  <c:v>1.5004527709417809E-2</c:v>
                </c:pt>
                <c:pt idx="140">
                  <c:v>1.7489354683953677E-2</c:v>
                </c:pt>
                <c:pt idx="141">
                  <c:v>1.6166536564968859E-2</c:v>
                </c:pt>
                <c:pt idx="142">
                  <c:v>1.768503733549211E-2</c:v>
                </c:pt>
                <c:pt idx="143">
                  <c:v>1.8689483555799011E-2</c:v>
                </c:pt>
                <c:pt idx="144">
                  <c:v>1.7667948703650536E-2</c:v>
                </c:pt>
                <c:pt idx="145">
                  <c:v>2.0150990405076116E-2</c:v>
                </c:pt>
                <c:pt idx="146">
                  <c:v>1.926447492690514E-2</c:v>
                </c:pt>
                <c:pt idx="147">
                  <c:v>1.8777986808693792E-2</c:v>
                </c:pt>
                <c:pt idx="148">
                  <c:v>1.9494273414881084E-2</c:v>
                </c:pt>
                <c:pt idx="149">
                  <c:v>2.2346657073289165E-2</c:v>
                </c:pt>
                <c:pt idx="150">
                  <c:v>2.4455045697467318E-2</c:v>
                </c:pt>
                <c:pt idx="151">
                  <c:v>2.2431862388989768E-2</c:v>
                </c:pt>
                <c:pt idx="152">
                  <c:v>2.2882566797587191E-2</c:v>
                </c:pt>
                <c:pt idx="153">
                  <c:v>2.4219547266054124E-2</c:v>
                </c:pt>
                <c:pt idx="154">
                  <c:v>2.8768035520914791E-2</c:v>
                </c:pt>
                <c:pt idx="155">
                  <c:v>2.9313270090362838E-2</c:v>
                </c:pt>
                <c:pt idx="156">
                  <c:v>2.9115040288959029E-2</c:v>
                </c:pt>
                <c:pt idx="157">
                  <c:v>2.8464541441068584E-2</c:v>
                </c:pt>
                <c:pt idx="158">
                  <c:v>2.6811266682779319E-2</c:v>
                </c:pt>
                <c:pt idx="159">
                  <c:v>2.824303387946853E-2</c:v>
                </c:pt>
                <c:pt idx="160">
                  <c:v>2.9173809719149468E-2</c:v>
                </c:pt>
                <c:pt idx="161">
                  <c:v>2.7546063749379103E-2</c:v>
                </c:pt>
                <c:pt idx="162">
                  <c:v>2.597666689700414E-2</c:v>
                </c:pt>
                <c:pt idx="163">
                  <c:v>2.4062344015357773E-2</c:v>
                </c:pt>
                <c:pt idx="164">
                  <c:v>2.5091104179862142E-2</c:v>
                </c:pt>
                <c:pt idx="165">
                  <c:v>2.3269270499005491E-2</c:v>
                </c:pt>
                <c:pt idx="166">
                  <c:v>2.3624698988615783E-2</c:v>
                </c:pt>
                <c:pt idx="167">
                  <c:v>2.041953987621585E-2</c:v>
                </c:pt>
                <c:pt idx="168">
                  <c:v>2.3188437232040136E-2</c:v>
                </c:pt>
                <c:pt idx="169">
                  <c:v>2.105832525321754E-2</c:v>
                </c:pt>
                <c:pt idx="170">
                  <c:v>2.0208574027866473E-2</c:v>
                </c:pt>
                <c:pt idx="171">
                  <c:v>2.0559342886388603E-2</c:v>
                </c:pt>
                <c:pt idx="172">
                  <c:v>2.2636920410795455E-2</c:v>
                </c:pt>
                <c:pt idx="173">
                  <c:v>2.3905229303628789E-2</c:v>
                </c:pt>
                <c:pt idx="174">
                  <c:v>2.1247409580990206E-2</c:v>
                </c:pt>
                <c:pt idx="175">
                  <c:v>2.1973595956734506E-2</c:v>
                </c:pt>
                <c:pt idx="176">
                  <c:v>2.2263331540790996E-2</c:v>
                </c:pt>
                <c:pt idx="177">
                  <c:v>2.3238544817157997E-2</c:v>
                </c:pt>
                <c:pt idx="178">
                  <c:v>2.4227394015791021E-2</c:v>
                </c:pt>
                <c:pt idx="179">
                  <c:v>2.128352495496199E-2</c:v>
                </c:pt>
                <c:pt idx="180">
                  <c:v>2.0146252848985927E-2</c:v>
                </c:pt>
                <c:pt idx="181">
                  <c:v>1.6743338921023098E-2</c:v>
                </c:pt>
                <c:pt idx="182">
                  <c:v>1.8186077046072502E-2</c:v>
                </c:pt>
                <c:pt idx="183">
                  <c:v>1.7738033441961388E-2</c:v>
                </c:pt>
                <c:pt idx="184">
                  <c:v>1.9551367815546814E-2</c:v>
                </c:pt>
                <c:pt idx="185">
                  <c:v>1.5844493225462164E-2</c:v>
                </c:pt>
                <c:pt idx="186">
                  <c:v>1.7116090013144573E-2</c:v>
                </c:pt>
                <c:pt idx="187">
                  <c:v>1.6642863363685648E-2</c:v>
                </c:pt>
                <c:pt idx="188">
                  <c:v>1.4546980918921273E-2</c:v>
                </c:pt>
                <c:pt idx="189">
                  <c:v>1.7589604724643871E-2</c:v>
                </c:pt>
                <c:pt idx="190">
                  <c:v>1.8132430590228194E-2</c:v>
                </c:pt>
                <c:pt idx="191">
                  <c:v>1.930884441501237E-2</c:v>
                </c:pt>
                <c:pt idx="192">
                  <c:v>2.0600049177530725E-2</c:v>
                </c:pt>
                <c:pt idx="193">
                  <c:v>2.0396764573313561E-2</c:v>
                </c:pt>
                <c:pt idx="194">
                  <c:v>2.4089620254135448E-2</c:v>
                </c:pt>
                <c:pt idx="195">
                  <c:v>2.6793654946040954E-2</c:v>
                </c:pt>
                <c:pt idx="196">
                  <c:v>2.5933575573597129E-2</c:v>
                </c:pt>
                <c:pt idx="197">
                  <c:v>2.6012805134576954E-2</c:v>
                </c:pt>
                <c:pt idx="198">
                  <c:v>2.5108899423730908E-2</c:v>
                </c:pt>
                <c:pt idx="199">
                  <c:v>2.6624700387752595E-2</c:v>
                </c:pt>
                <c:pt idx="200">
                  <c:v>2.6619540182375827E-2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21-447A-B9DB-A30AC6129D84}"/>
            </c:ext>
          </c:extLst>
        </c:ser>
        <c:ser>
          <c:idx val="4"/>
          <c:order val="4"/>
          <c:tx>
            <c:strRef>
              <c:f>'2-factor HJM'!$J$9</c:f>
              <c:strCache>
                <c:ptCount val="1"/>
                <c:pt idx="0">
                  <c:v>10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'2-factor HJM'!$E$10:$E$210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'2-factor HJM'!$J$10:$J$210</c:f>
              <c:numCache>
                <c:formatCode>General</c:formatCode>
                <c:ptCount val="201"/>
                <c:pt idx="0" formatCode="0.00%">
                  <c:v>1.4999999999999999E-2</c:v>
                </c:pt>
                <c:pt idx="1">
                  <c:v>1.4485722535675304E-2</c:v>
                </c:pt>
                <c:pt idx="2">
                  <c:v>1.2714496895971723E-2</c:v>
                </c:pt>
                <c:pt idx="3">
                  <c:v>1.4049285160826309E-2</c:v>
                </c:pt>
                <c:pt idx="4">
                  <c:v>1.2277357808052275E-2</c:v>
                </c:pt>
                <c:pt idx="5">
                  <c:v>1.0790349050056774E-2</c:v>
                </c:pt>
                <c:pt idx="6">
                  <c:v>1.1289176889340833E-2</c:v>
                </c:pt>
                <c:pt idx="7">
                  <c:v>1.0336771466680652E-2</c:v>
                </c:pt>
                <c:pt idx="8">
                  <c:v>1.2322770455686258E-2</c:v>
                </c:pt>
                <c:pt idx="9">
                  <c:v>1.4633469166154567E-2</c:v>
                </c:pt>
                <c:pt idx="10">
                  <c:v>1.4778216567059209E-2</c:v>
                </c:pt>
                <c:pt idx="11">
                  <c:v>1.3863349599901341E-2</c:v>
                </c:pt>
                <c:pt idx="12">
                  <c:v>1.8889911270653089E-2</c:v>
                </c:pt>
                <c:pt idx="13">
                  <c:v>2.1484606699055549E-2</c:v>
                </c:pt>
                <c:pt idx="14">
                  <c:v>2.2927452600315729E-2</c:v>
                </c:pt>
                <c:pt idx="15">
                  <c:v>2.260212497996281E-2</c:v>
                </c:pt>
                <c:pt idx="16">
                  <c:v>1.8856160292782833E-2</c:v>
                </c:pt>
                <c:pt idx="17">
                  <c:v>1.5720494924953671E-2</c:v>
                </c:pt>
                <c:pt idx="18">
                  <c:v>1.7170738895092297E-2</c:v>
                </c:pt>
                <c:pt idx="19">
                  <c:v>1.7575142935723133E-2</c:v>
                </c:pt>
                <c:pt idx="20">
                  <c:v>1.9515631149675253E-2</c:v>
                </c:pt>
                <c:pt idx="21">
                  <c:v>1.8143476628236711E-2</c:v>
                </c:pt>
                <c:pt idx="22">
                  <c:v>2.0501740347288345E-2</c:v>
                </c:pt>
                <c:pt idx="23">
                  <c:v>1.990530747775528E-2</c:v>
                </c:pt>
                <c:pt idx="24">
                  <c:v>2.3142591416852511E-2</c:v>
                </c:pt>
                <c:pt idx="25">
                  <c:v>2.7017589012003473E-2</c:v>
                </c:pt>
                <c:pt idx="26">
                  <c:v>2.4932935302969743E-2</c:v>
                </c:pt>
                <c:pt idx="27">
                  <c:v>2.3658077239059924E-2</c:v>
                </c:pt>
                <c:pt idx="28">
                  <c:v>2.4135462816520098E-2</c:v>
                </c:pt>
                <c:pt idx="29">
                  <c:v>2.2820761700920279E-2</c:v>
                </c:pt>
                <c:pt idx="30">
                  <c:v>2.6323700711527159E-2</c:v>
                </c:pt>
                <c:pt idx="31">
                  <c:v>2.6307946808457508E-2</c:v>
                </c:pt>
                <c:pt idx="32">
                  <c:v>2.9936303738268236E-2</c:v>
                </c:pt>
                <c:pt idx="33">
                  <c:v>3.0430798276465085E-2</c:v>
                </c:pt>
                <c:pt idx="34">
                  <c:v>3.4884228759647612E-2</c:v>
                </c:pt>
                <c:pt idx="35">
                  <c:v>3.4619231276508844E-2</c:v>
                </c:pt>
                <c:pt idx="36">
                  <c:v>3.254340557619595E-2</c:v>
                </c:pt>
                <c:pt idx="37">
                  <c:v>3.0699653735364034E-2</c:v>
                </c:pt>
                <c:pt idx="38">
                  <c:v>3.2555786146017736E-2</c:v>
                </c:pt>
                <c:pt idx="39">
                  <c:v>3.2497810899576464E-2</c:v>
                </c:pt>
                <c:pt idx="40">
                  <c:v>2.964133411558751E-2</c:v>
                </c:pt>
                <c:pt idx="41">
                  <c:v>2.9022810219702735E-2</c:v>
                </c:pt>
                <c:pt idx="42">
                  <c:v>3.0330818167572902E-2</c:v>
                </c:pt>
                <c:pt idx="43">
                  <c:v>3.0544545332647617E-2</c:v>
                </c:pt>
                <c:pt idx="44">
                  <c:v>2.6830911032019584E-2</c:v>
                </c:pt>
                <c:pt idx="45">
                  <c:v>2.5464584864660741E-2</c:v>
                </c:pt>
                <c:pt idx="46">
                  <c:v>3.1916571002726303E-2</c:v>
                </c:pt>
                <c:pt idx="47">
                  <c:v>3.2888946880770563E-2</c:v>
                </c:pt>
                <c:pt idx="48">
                  <c:v>3.2419383435484894E-2</c:v>
                </c:pt>
                <c:pt idx="49">
                  <c:v>3.4036712389549244E-2</c:v>
                </c:pt>
                <c:pt idx="50">
                  <c:v>3.5540477239446658E-2</c:v>
                </c:pt>
                <c:pt idx="51">
                  <c:v>3.4886496608611407E-2</c:v>
                </c:pt>
                <c:pt idx="52">
                  <c:v>3.3053749606449127E-2</c:v>
                </c:pt>
                <c:pt idx="53">
                  <c:v>3.0874176361895676E-2</c:v>
                </c:pt>
                <c:pt idx="54">
                  <c:v>2.7227577099667957E-2</c:v>
                </c:pt>
                <c:pt idx="55">
                  <c:v>2.6287422512808505E-2</c:v>
                </c:pt>
                <c:pt idx="56">
                  <c:v>2.5634529571012483E-2</c:v>
                </c:pt>
                <c:pt idx="57">
                  <c:v>2.4898595646298313E-2</c:v>
                </c:pt>
                <c:pt idx="58">
                  <c:v>2.4977854376489333E-2</c:v>
                </c:pt>
                <c:pt idx="59">
                  <c:v>2.526438719228951E-2</c:v>
                </c:pt>
                <c:pt idx="60">
                  <c:v>2.8402104798236003E-2</c:v>
                </c:pt>
                <c:pt idx="61">
                  <c:v>2.8661449127965314E-2</c:v>
                </c:pt>
                <c:pt idx="62">
                  <c:v>2.7193396998921024E-2</c:v>
                </c:pt>
                <c:pt idx="63">
                  <c:v>2.9888540715407884E-2</c:v>
                </c:pt>
                <c:pt idx="64">
                  <c:v>3.2739480281113079E-2</c:v>
                </c:pt>
                <c:pt idx="65">
                  <c:v>3.2490373722550508E-2</c:v>
                </c:pt>
                <c:pt idx="66">
                  <c:v>3.3663301015871797E-2</c:v>
                </c:pt>
                <c:pt idx="67">
                  <c:v>3.3521509086160931E-2</c:v>
                </c:pt>
                <c:pt idx="68">
                  <c:v>3.5885331027533419E-2</c:v>
                </c:pt>
                <c:pt idx="69">
                  <c:v>3.3977791507785925E-2</c:v>
                </c:pt>
                <c:pt idx="70">
                  <c:v>3.2470120550802638E-2</c:v>
                </c:pt>
                <c:pt idx="71">
                  <c:v>3.3185302549630299E-2</c:v>
                </c:pt>
                <c:pt idx="72">
                  <c:v>3.2795715445567447E-2</c:v>
                </c:pt>
                <c:pt idx="73">
                  <c:v>3.5355303203185535E-2</c:v>
                </c:pt>
                <c:pt idx="74">
                  <c:v>3.7942182038418135E-2</c:v>
                </c:pt>
                <c:pt idx="75">
                  <c:v>3.8560250557410289E-2</c:v>
                </c:pt>
                <c:pt idx="76">
                  <c:v>4.0221293396011625E-2</c:v>
                </c:pt>
                <c:pt idx="77">
                  <c:v>4.1552855279140204E-2</c:v>
                </c:pt>
                <c:pt idx="78">
                  <c:v>4.0380163665457436E-2</c:v>
                </c:pt>
                <c:pt idx="79">
                  <c:v>3.7343025781816037E-2</c:v>
                </c:pt>
                <c:pt idx="80">
                  <c:v>3.9021358495006875E-2</c:v>
                </c:pt>
                <c:pt idx="81">
                  <c:v>3.9871416892035522E-2</c:v>
                </c:pt>
                <c:pt idx="82">
                  <c:v>3.7790343342908359E-2</c:v>
                </c:pt>
                <c:pt idx="83">
                  <c:v>4.0782059541975696E-2</c:v>
                </c:pt>
                <c:pt idx="84">
                  <c:v>3.9847282181328228E-2</c:v>
                </c:pt>
                <c:pt idx="85">
                  <c:v>3.8875433772331748E-2</c:v>
                </c:pt>
                <c:pt idx="86">
                  <c:v>3.9160900721850897E-2</c:v>
                </c:pt>
                <c:pt idx="87">
                  <c:v>3.8970261587985174E-2</c:v>
                </c:pt>
                <c:pt idx="88">
                  <c:v>4.0891413680787601E-2</c:v>
                </c:pt>
                <c:pt idx="89">
                  <c:v>4.0426465772756867E-2</c:v>
                </c:pt>
                <c:pt idx="90">
                  <c:v>4.1307734769093989E-2</c:v>
                </c:pt>
                <c:pt idx="91">
                  <c:v>4.0897461043029625E-2</c:v>
                </c:pt>
                <c:pt idx="92">
                  <c:v>4.1148557652272315E-2</c:v>
                </c:pt>
                <c:pt idx="93">
                  <c:v>4.0884784703013384E-2</c:v>
                </c:pt>
                <c:pt idx="94">
                  <c:v>4.1236634195654057E-2</c:v>
                </c:pt>
                <c:pt idx="95">
                  <c:v>4.4189155868288664E-2</c:v>
                </c:pt>
                <c:pt idx="96">
                  <c:v>4.2138984454821053E-2</c:v>
                </c:pt>
                <c:pt idx="97">
                  <c:v>4.2386590102342574E-2</c:v>
                </c:pt>
                <c:pt idx="98">
                  <c:v>4.0671850593901646E-2</c:v>
                </c:pt>
                <c:pt idx="99">
                  <c:v>3.9589464435421544E-2</c:v>
                </c:pt>
                <c:pt idx="100">
                  <c:v>4.0874700930154356E-2</c:v>
                </c:pt>
                <c:pt idx="101">
                  <c:v>3.9682739249789656E-2</c:v>
                </c:pt>
                <c:pt idx="102">
                  <c:v>3.8861704777343083E-2</c:v>
                </c:pt>
                <c:pt idx="103">
                  <c:v>3.6985634783333457E-2</c:v>
                </c:pt>
                <c:pt idx="104">
                  <c:v>3.4880395980028012E-2</c:v>
                </c:pt>
                <c:pt idx="105">
                  <c:v>3.5093344688817557E-2</c:v>
                </c:pt>
                <c:pt idx="106">
                  <c:v>3.46656296657687E-2</c:v>
                </c:pt>
                <c:pt idx="107">
                  <c:v>3.7231573301839099E-2</c:v>
                </c:pt>
                <c:pt idx="108">
                  <c:v>3.4267923962696276E-2</c:v>
                </c:pt>
                <c:pt idx="109">
                  <c:v>3.1586264193533657E-2</c:v>
                </c:pt>
                <c:pt idx="110">
                  <c:v>3.0503031469024344E-2</c:v>
                </c:pt>
                <c:pt idx="111">
                  <c:v>2.7625280577101861E-2</c:v>
                </c:pt>
                <c:pt idx="112">
                  <c:v>2.6139037855602523E-2</c:v>
                </c:pt>
                <c:pt idx="113">
                  <c:v>2.5234362755462609E-2</c:v>
                </c:pt>
                <c:pt idx="114">
                  <c:v>2.7807325435730116E-2</c:v>
                </c:pt>
                <c:pt idx="115">
                  <c:v>2.7357080685145717E-2</c:v>
                </c:pt>
                <c:pt idx="116">
                  <c:v>2.713869761539469E-2</c:v>
                </c:pt>
                <c:pt idx="117">
                  <c:v>2.8110624409843799E-2</c:v>
                </c:pt>
                <c:pt idx="118">
                  <c:v>2.9121426544813193E-2</c:v>
                </c:pt>
                <c:pt idx="119">
                  <c:v>2.9882730315204078E-2</c:v>
                </c:pt>
                <c:pt idx="120">
                  <c:v>2.8797667343568537E-2</c:v>
                </c:pt>
                <c:pt idx="121">
                  <c:v>3.0166694236068017E-2</c:v>
                </c:pt>
                <c:pt idx="122">
                  <c:v>3.0878885435280154E-2</c:v>
                </c:pt>
                <c:pt idx="123">
                  <c:v>2.7362021906593429E-2</c:v>
                </c:pt>
                <c:pt idx="124">
                  <c:v>2.59150637157914E-2</c:v>
                </c:pt>
                <c:pt idx="125">
                  <c:v>2.787560809056824E-2</c:v>
                </c:pt>
                <c:pt idx="126">
                  <c:v>3.1264184122444576E-2</c:v>
                </c:pt>
                <c:pt idx="127">
                  <c:v>2.8821343483972812E-2</c:v>
                </c:pt>
                <c:pt idx="128">
                  <c:v>3.0122394634519104E-2</c:v>
                </c:pt>
                <c:pt idx="129">
                  <c:v>2.9595987458956433E-2</c:v>
                </c:pt>
                <c:pt idx="130">
                  <c:v>2.9989031745689537E-2</c:v>
                </c:pt>
                <c:pt idx="131">
                  <c:v>2.8361708540947689E-2</c:v>
                </c:pt>
                <c:pt idx="132">
                  <c:v>3.2408495850711733E-2</c:v>
                </c:pt>
                <c:pt idx="133">
                  <c:v>3.087612067594021E-2</c:v>
                </c:pt>
                <c:pt idx="134">
                  <c:v>3.411354455774427E-2</c:v>
                </c:pt>
                <c:pt idx="135">
                  <c:v>3.0378873032322957E-2</c:v>
                </c:pt>
                <c:pt idx="136">
                  <c:v>3.1210948783305516E-2</c:v>
                </c:pt>
                <c:pt idx="137">
                  <c:v>2.8441673295586941E-2</c:v>
                </c:pt>
                <c:pt idx="138">
                  <c:v>3.1472963479753417E-2</c:v>
                </c:pt>
                <c:pt idx="139">
                  <c:v>2.8993045673638015E-2</c:v>
                </c:pt>
                <c:pt idx="140">
                  <c:v>3.040960132291274E-2</c:v>
                </c:pt>
                <c:pt idx="141">
                  <c:v>3.1156335517814396E-2</c:v>
                </c:pt>
                <c:pt idx="142">
                  <c:v>3.3533295924951058E-2</c:v>
                </c:pt>
                <c:pt idx="143">
                  <c:v>3.4340117020832006E-2</c:v>
                </c:pt>
                <c:pt idx="144">
                  <c:v>3.3596765727404672E-2</c:v>
                </c:pt>
                <c:pt idx="145">
                  <c:v>3.4985820386982114E-2</c:v>
                </c:pt>
                <c:pt idx="146">
                  <c:v>3.394175823945398E-2</c:v>
                </c:pt>
                <c:pt idx="147">
                  <c:v>3.2548726221652453E-2</c:v>
                </c:pt>
                <c:pt idx="148">
                  <c:v>3.2223276836629358E-2</c:v>
                </c:pt>
                <c:pt idx="149">
                  <c:v>3.5324865823737832E-2</c:v>
                </c:pt>
                <c:pt idx="150">
                  <c:v>3.6938730522203707E-2</c:v>
                </c:pt>
                <c:pt idx="151">
                  <c:v>3.435345441246699E-2</c:v>
                </c:pt>
                <c:pt idx="152">
                  <c:v>3.6489254929540797E-2</c:v>
                </c:pt>
                <c:pt idx="153">
                  <c:v>3.788907118166647E-2</c:v>
                </c:pt>
                <c:pt idx="154">
                  <c:v>4.2094048536212882E-2</c:v>
                </c:pt>
                <c:pt idx="155">
                  <c:v>4.2881934360924114E-2</c:v>
                </c:pt>
                <c:pt idx="156">
                  <c:v>4.3773787750513861E-2</c:v>
                </c:pt>
                <c:pt idx="157">
                  <c:v>4.2582577200086881E-2</c:v>
                </c:pt>
                <c:pt idx="158">
                  <c:v>4.0688276138197393E-2</c:v>
                </c:pt>
                <c:pt idx="159">
                  <c:v>4.1388116021200932E-2</c:v>
                </c:pt>
                <c:pt idx="160">
                  <c:v>4.2939165183156248E-2</c:v>
                </c:pt>
                <c:pt idx="161">
                  <c:v>3.8823530829463944E-2</c:v>
                </c:pt>
                <c:pt idx="162">
                  <c:v>3.7279615557275506E-2</c:v>
                </c:pt>
                <c:pt idx="163">
                  <c:v>3.6942335313025418E-2</c:v>
                </c:pt>
                <c:pt idx="164">
                  <c:v>3.850118625590003E-2</c:v>
                </c:pt>
                <c:pt idx="165">
                  <c:v>3.6989331193354284E-2</c:v>
                </c:pt>
                <c:pt idx="166">
                  <c:v>3.760002121776769E-2</c:v>
                </c:pt>
                <c:pt idx="167">
                  <c:v>3.4143232307285887E-2</c:v>
                </c:pt>
                <c:pt idx="168">
                  <c:v>3.7327591998723972E-2</c:v>
                </c:pt>
                <c:pt idx="169">
                  <c:v>3.6484612104477253E-2</c:v>
                </c:pt>
                <c:pt idx="170">
                  <c:v>3.6436921452154575E-2</c:v>
                </c:pt>
                <c:pt idx="171">
                  <c:v>3.7536849339943223E-2</c:v>
                </c:pt>
                <c:pt idx="172">
                  <c:v>3.9472881800858575E-2</c:v>
                </c:pt>
                <c:pt idx="173">
                  <c:v>4.1261339418114253E-2</c:v>
                </c:pt>
                <c:pt idx="174">
                  <c:v>3.8294458192797802E-2</c:v>
                </c:pt>
                <c:pt idx="175">
                  <c:v>3.8090025808879782E-2</c:v>
                </c:pt>
                <c:pt idx="176">
                  <c:v>3.8776669597143973E-2</c:v>
                </c:pt>
                <c:pt idx="177">
                  <c:v>3.7837730886971926E-2</c:v>
                </c:pt>
                <c:pt idx="178">
                  <c:v>3.8110312206400078E-2</c:v>
                </c:pt>
                <c:pt idx="179">
                  <c:v>3.6732334628778084E-2</c:v>
                </c:pt>
                <c:pt idx="180">
                  <c:v>3.5359681037555116E-2</c:v>
                </c:pt>
                <c:pt idx="181">
                  <c:v>3.2889835345721395E-2</c:v>
                </c:pt>
                <c:pt idx="182">
                  <c:v>3.6096484652589356E-2</c:v>
                </c:pt>
                <c:pt idx="183">
                  <c:v>3.6018962745189641E-2</c:v>
                </c:pt>
                <c:pt idx="184">
                  <c:v>3.7640311498669088E-2</c:v>
                </c:pt>
                <c:pt idx="185">
                  <c:v>3.3652887392854644E-2</c:v>
                </c:pt>
                <c:pt idx="186">
                  <c:v>3.4307945344488229E-2</c:v>
                </c:pt>
                <c:pt idx="187">
                  <c:v>3.3465692917814628E-2</c:v>
                </c:pt>
                <c:pt idx="188">
                  <c:v>3.1558557055579126E-2</c:v>
                </c:pt>
                <c:pt idx="189">
                  <c:v>3.4848789558568231E-2</c:v>
                </c:pt>
                <c:pt idx="190">
                  <c:v>3.4753165006232038E-2</c:v>
                </c:pt>
                <c:pt idx="191">
                  <c:v>3.5087258681571393E-2</c:v>
                </c:pt>
                <c:pt idx="192">
                  <c:v>3.726653985000962E-2</c:v>
                </c:pt>
                <c:pt idx="193">
                  <c:v>3.7047087021495048E-2</c:v>
                </c:pt>
                <c:pt idx="194">
                  <c:v>4.0616636845066577E-2</c:v>
                </c:pt>
                <c:pt idx="195">
                  <c:v>4.2128163513975782E-2</c:v>
                </c:pt>
                <c:pt idx="196">
                  <c:v>4.0981611561622555E-2</c:v>
                </c:pt>
                <c:pt idx="197">
                  <c:v>4.0801790035008091E-2</c:v>
                </c:pt>
                <c:pt idx="198">
                  <c:v>3.701455032279196E-2</c:v>
                </c:pt>
                <c:pt idx="199">
                  <c:v>3.7335522711083265E-2</c:v>
                </c:pt>
                <c:pt idx="200">
                  <c:v>3.7774177160060061E-2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21-447A-B9DB-A30AC6129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989864"/>
        <c:axId val="1"/>
      </c:scatterChart>
      <c:valAx>
        <c:axId val="956989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537740544650001"/>
              <c:y val="0.877195487240403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69898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698957701104044"/>
          <c:y val="0.50877338259943405"/>
          <c:w val="0.10107548108930001"/>
          <c:h val="0.28070255591692911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Forwards rates at various times</a:t>
            </a:r>
          </a:p>
        </c:rich>
      </c:tx>
      <c:layout>
        <c:manualLayout>
          <c:xMode val="edge"/>
          <c:yMode val="edge"/>
          <c:x val="0.24369747899159663"/>
          <c:y val="3.42857142857142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64425770308124"/>
          <c:y val="5.4285714285714284E-2"/>
          <c:w val="0.8571428571428571"/>
          <c:h val="0.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'2-factor HJM'!$F$9:$K$9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'2-factor HJM'!$F$10:$K$10</c:f>
              <c:numCache>
                <c:formatCode>0.00%</c:formatCode>
                <c:ptCount val="6"/>
                <c:pt idx="0">
                  <c:v>5.0000000000000001E-3</c:v>
                </c:pt>
                <c:pt idx="1">
                  <c:v>6.0000000000000001E-3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A-4756-AAA9-174C74F470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'2-factor HJM'!$F$9:$K$9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'2-factor HJM'!$F$30:$K$30</c:f>
              <c:numCache>
                <c:formatCode>General</c:formatCode>
                <c:ptCount val="6"/>
                <c:pt idx="0">
                  <c:v>2.5220003354133411E-3</c:v>
                </c:pt>
                <c:pt idx="1">
                  <c:v>4.2725896209829103E-3</c:v>
                </c:pt>
                <c:pt idx="2">
                  <c:v>7.7786190461649361E-3</c:v>
                </c:pt>
                <c:pt idx="3">
                  <c:v>1.1637738580056685E-2</c:v>
                </c:pt>
                <c:pt idx="4">
                  <c:v>1.9515631149675253E-2</c:v>
                </c:pt>
                <c:pt idx="5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6A-4756-AAA9-174C74F470F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'2-factor HJM'!$F$9:$K$9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'2-factor HJM'!$F$50:$K$50</c:f>
              <c:numCache>
                <c:formatCode>General</c:formatCode>
                <c:ptCount val="6"/>
                <c:pt idx="0">
                  <c:v>1.1303972588924245E-2</c:v>
                </c:pt>
                <c:pt idx="1">
                  <c:v>1.34621640437562E-2</c:v>
                </c:pt>
                <c:pt idx="2">
                  <c:v>1.7785913048292662E-2</c:v>
                </c:pt>
                <c:pt idx="3">
                  <c:v>2.1954216671477605E-2</c:v>
                </c:pt>
                <c:pt idx="4">
                  <c:v>2.964133411558751E-2</c:v>
                </c:pt>
                <c:pt idx="5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6A-4756-AAA9-174C74F470F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'2-factor HJM'!$F$9:$K$9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'2-factor HJM'!$F$70:$K$70</c:f>
              <c:numCache>
                <c:formatCode>General</c:formatCode>
                <c:ptCount val="6"/>
                <c:pt idx="0">
                  <c:v>8.5013976061701375E-3</c:v>
                </c:pt>
                <c:pt idx="1">
                  <c:v>1.1095416139133535E-2</c:v>
                </c:pt>
                <c:pt idx="2">
                  <c:v>1.6139643233408916E-2</c:v>
                </c:pt>
                <c:pt idx="3">
                  <c:v>2.0586259647561351E-2</c:v>
                </c:pt>
                <c:pt idx="4">
                  <c:v>2.8402104798236003E-2</c:v>
                </c:pt>
                <c:pt idx="5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6A-4756-AAA9-174C74F470F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'2-factor HJM'!$F$9:$K$9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'2-factor HJM'!$F$98:$K$98</c:f>
              <c:numCache>
                <c:formatCode>General</c:formatCode>
                <c:ptCount val="6"/>
                <c:pt idx="0">
                  <c:v>9.0255558426103541E-3</c:v>
                </c:pt>
                <c:pt idx="1">
                  <c:v>1.3169644778567195E-2</c:v>
                </c:pt>
                <c:pt idx="2">
                  <c:v>2.1073599414985447E-2</c:v>
                </c:pt>
                <c:pt idx="3">
                  <c:v>2.7931317357504266E-2</c:v>
                </c:pt>
                <c:pt idx="4">
                  <c:v>4.0891413680787601E-2</c:v>
                </c:pt>
                <c:pt idx="5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6A-4756-AAA9-174C74F470F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'2-factor HJM'!$F$9:$K$9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'2-factor HJM'!$F$110:$K$110</c:f>
              <c:numCache>
                <c:formatCode>General</c:formatCode>
                <c:ptCount val="6"/>
                <c:pt idx="0">
                  <c:v>9.0531844532581469E-3</c:v>
                </c:pt>
                <c:pt idx="1">
                  <c:v>1.3366544101882226E-2</c:v>
                </c:pt>
                <c:pt idx="2">
                  <c:v>2.151042629437085E-2</c:v>
                </c:pt>
                <c:pt idx="3">
                  <c:v>2.8403604467553918E-2</c:v>
                </c:pt>
                <c:pt idx="4">
                  <c:v>4.0874700930154356E-2</c:v>
                </c:pt>
                <c:pt idx="5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6A-4756-AAA9-174C74F470F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'2-factor HJM'!$F$9:$K$9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'2-factor HJM'!$F$130:$K$130</c:f>
              <c:numCache>
                <c:formatCode>General</c:formatCode>
                <c:ptCount val="6"/>
                <c:pt idx="0">
                  <c:v>-1.8034402764052241E-3</c:v>
                </c:pt>
                <c:pt idx="1">
                  <c:v>2.5736491414510396E-3</c:v>
                </c:pt>
                <c:pt idx="2">
                  <c:v>1.068106311966961E-2</c:v>
                </c:pt>
                <c:pt idx="3">
                  <c:v>1.7241788576823531E-2</c:v>
                </c:pt>
                <c:pt idx="4">
                  <c:v>2.8797667343568537E-2</c:v>
                </c:pt>
                <c:pt idx="5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6A-4756-AAA9-174C74F470F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'2-factor HJM'!$F$9:$K$9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'2-factor HJM'!$F$150:$K$150</c:f>
              <c:numCache>
                <c:formatCode>General</c:formatCode>
                <c:ptCount val="6"/>
                <c:pt idx="0">
                  <c:v>-3.48770070938131E-3</c:v>
                </c:pt>
                <c:pt idx="1">
                  <c:v>1.3641638870260618E-3</c:v>
                </c:pt>
                <c:pt idx="2">
                  <c:v>1.0290741278994734E-2</c:v>
                </c:pt>
                <c:pt idx="3">
                  <c:v>1.7489354683953677E-2</c:v>
                </c:pt>
                <c:pt idx="4">
                  <c:v>3.040960132291274E-2</c:v>
                </c:pt>
                <c:pt idx="5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6A-4756-AAA9-174C74F470FF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'2-factor HJM'!$F$9:$K$9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'2-factor HJM'!$F$170:$K$170</c:f>
              <c:numCache>
                <c:formatCode>General</c:formatCode>
                <c:ptCount val="6"/>
                <c:pt idx="0">
                  <c:v>6.2696674428092238E-3</c:v>
                </c:pt>
                <c:pt idx="1">
                  <c:v>1.1587773782004844E-2</c:v>
                </c:pt>
                <c:pt idx="2">
                  <c:v>2.1342079561064698E-2</c:v>
                </c:pt>
                <c:pt idx="3">
                  <c:v>2.9173809719149468E-2</c:v>
                </c:pt>
                <c:pt idx="4">
                  <c:v>4.2939165183156248E-2</c:v>
                </c:pt>
                <c:pt idx="5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E6A-4756-AAA9-174C74F470FF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'2-factor HJM'!$F$9:$K$9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'2-factor HJM'!$F$190:$K$190</c:f>
              <c:numCache>
                <c:formatCode>General</c:formatCode>
                <c:ptCount val="6"/>
                <c:pt idx="0">
                  <c:v>-5.2319913328369907E-3</c:v>
                </c:pt>
                <c:pt idx="1">
                  <c:v>6.670728587560552E-4</c:v>
                </c:pt>
                <c:pt idx="2">
                  <c:v>1.1478388252506027E-2</c:v>
                </c:pt>
                <c:pt idx="3">
                  <c:v>2.0146252848985927E-2</c:v>
                </c:pt>
                <c:pt idx="4">
                  <c:v>3.5359681037555116E-2</c:v>
                </c:pt>
                <c:pt idx="5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E6A-4756-AAA9-174C74F470F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'2-factor HJM'!$F$9:$K$9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'2-factor HJM'!$F$210:$K$210</c:f>
              <c:numCache>
                <c:formatCode>General</c:formatCode>
                <c:ptCount val="6"/>
                <c:pt idx="0">
                  <c:v>4.3872806435259508E-3</c:v>
                </c:pt>
                <c:pt idx="1">
                  <c:v>9.7506441546146363E-3</c:v>
                </c:pt>
                <c:pt idx="2">
                  <c:v>1.9377445718516156E-2</c:v>
                </c:pt>
                <c:pt idx="3">
                  <c:v>2.6619540182375827E-2</c:v>
                </c:pt>
                <c:pt idx="4">
                  <c:v>3.7774177160060061E-2</c:v>
                </c:pt>
                <c:pt idx="5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E6A-4756-AAA9-174C74F47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988224"/>
        <c:axId val="1"/>
      </c:scatterChart>
      <c:valAx>
        <c:axId val="95698822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Maturity</a:t>
                </a:r>
              </a:p>
            </c:rich>
          </c:tx>
          <c:layout>
            <c:manualLayout>
              <c:xMode val="edge"/>
              <c:yMode val="edge"/>
              <c:x val="0.47478991596638653"/>
              <c:y val="0.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69882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12</xdr:row>
      <xdr:rowOff>76200</xdr:rowOff>
    </xdr:from>
    <xdr:to>
      <xdr:col>8</xdr:col>
      <xdr:colOff>95250</xdr:colOff>
      <xdr:row>32</xdr:row>
      <xdr:rowOff>95250</xdr:rowOff>
    </xdr:to>
    <xdr:graphicFrame macro="">
      <xdr:nvGraphicFramePr>
        <xdr:cNvPr id="1027" name="Chart 3">
          <a:extLst>
            <a:ext uri="{FF2B5EF4-FFF2-40B4-BE49-F238E27FC236}">
              <a16:creationId xmlns:a16="http://schemas.microsoft.com/office/drawing/2014/main" id="{A9E5625E-9508-4D53-9929-95A8CF3231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304800</xdr:colOff>
      <xdr:row>10</xdr:row>
      <xdr:rowOff>123825</xdr:rowOff>
    </xdr:from>
    <xdr:to>
      <xdr:col>21</xdr:col>
      <xdr:colOff>476250</xdr:colOff>
      <xdr:row>31</xdr:row>
      <xdr:rowOff>57150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86F981D5-80CD-46D3-9F37-16D2FF919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210"/>
  <sheetViews>
    <sheetView tabSelected="1" workbookViewId="0">
      <selection activeCell="H3" sqref="H3"/>
    </sheetView>
  </sheetViews>
  <sheetFormatPr defaultRowHeight="12.75" x14ac:dyDescent="0.2"/>
  <cols>
    <col min="1" max="1" width="9.140625" style="5"/>
    <col min="2" max="2" width="11.140625" style="5" bestFit="1" customWidth="1"/>
    <col min="3" max="3" width="5.7109375" style="5" customWidth="1"/>
    <col min="4" max="4" width="9.140625" style="5"/>
    <col min="5" max="5" width="6.42578125" style="5" customWidth="1"/>
    <col min="6" max="10" width="10.140625" style="5" bestFit="1" customWidth="1"/>
    <col min="11" max="12" width="9.140625" style="5"/>
    <col min="13" max="13" width="11.140625" style="5" customWidth="1"/>
    <col min="14" max="14" width="10.85546875" style="5" customWidth="1"/>
    <col min="15" max="15" width="10.5703125" style="5" customWidth="1"/>
    <col min="16" max="16384" width="9.140625" style="5"/>
  </cols>
  <sheetData>
    <row r="2" spans="2:15" ht="15" x14ac:dyDescent="0.2">
      <c r="B2" s="6"/>
    </row>
    <row r="3" spans="2:15" ht="15" x14ac:dyDescent="0.2">
      <c r="B3" s="6"/>
    </row>
    <row r="4" spans="2:15" ht="15" x14ac:dyDescent="0.2">
      <c r="B4" s="6"/>
      <c r="E4" s="1" t="s">
        <v>5</v>
      </c>
      <c r="F4" s="7">
        <f t="shared" ref="F4:K4" si="0">m(F$9)</f>
        <v>0</v>
      </c>
      <c r="G4" s="7">
        <f t="shared" si="0"/>
        <v>7.7005000000000039E-5</v>
      </c>
      <c r="H4" s="7">
        <f t="shared" si="0"/>
        <v>2.0717250000000013E-4</v>
      </c>
      <c r="I4" s="7">
        <f t="shared" si="0"/>
        <v>3.2000000000000024E-4</v>
      </c>
      <c r="J4" s="7">
        <f t="shared" si="0"/>
        <v>6.4000000000000059E-4</v>
      </c>
      <c r="K4" s="7">
        <f t="shared" si="0"/>
        <v>7.3387499999998593E-3</v>
      </c>
      <c r="M4" s="7"/>
    </row>
    <row r="5" spans="2:15" ht="15" x14ac:dyDescent="0.2">
      <c r="B5" s="6"/>
      <c r="E5" s="1" t="s">
        <v>7</v>
      </c>
      <c r="F5" s="7">
        <f t="shared" ref="F5:K5" si="1">_vol1(F$9)</f>
        <v>8.0000000000000002E-3</v>
      </c>
      <c r="G5" s="7">
        <f t="shared" si="1"/>
        <v>8.0000000000000002E-3</v>
      </c>
      <c r="H5" s="7">
        <f t="shared" si="1"/>
        <v>8.0000000000000002E-3</v>
      </c>
      <c r="I5" s="7">
        <f t="shared" si="1"/>
        <v>8.0000000000000002E-3</v>
      </c>
      <c r="J5" s="7">
        <f t="shared" si="1"/>
        <v>8.0000000000000002E-3</v>
      </c>
      <c r="K5" s="7">
        <f t="shared" si="1"/>
        <v>8.0000000000000002E-3</v>
      </c>
      <c r="O5" s="8"/>
    </row>
    <row r="6" spans="2:15" ht="15" x14ac:dyDescent="0.2">
      <c r="B6" s="6"/>
      <c r="E6" s="1" t="s">
        <v>6</v>
      </c>
      <c r="F6" s="7">
        <f t="shared" ref="F6:K6" si="2">_vol2(F$9)</f>
        <v>4.2499999999999994E-3</v>
      </c>
      <c r="G6" s="7">
        <f t="shared" si="2"/>
        <v>3.3999999999999998E-3</v>
      </c>
      <c r="H6" s="7">
        <f t="shared" si="2"/>
        <v>1.6999999999999999E-3</v>
      </c>
      <c r="I6" s="7">
        <f t="shared" si="2"/>
        <v>0</v>
      </c>
      <c r="J6" s="7">
        <f t="shared" si="2"/>
        <v>-4.2499999999999994E-3</v>
      </c>
      <c r="K6" s="7">
        <f t="shared" si="2"/>
        <v>-2.1249999999999998E-2</v>
      </c>
      <c r="O6" s="8"/>
    </row>
    <row r="8" spans="2:15" x14ac:dyDescent="0.2">
      <c r="F8" s="3" t="s">
        <v>3</v>
      </c>
    </row>
    <row r="9" spans="2:15" ht="12" customHeight="1" x14ac:dyDescent="0.25">
      <c r="B9" s="1" t="s">
        <v>0</v>
      </c>
      <c r="C9" s="11">
        <v>0.05</v>
      </c>
      <c r="E9" s="2" t="s">
        <v>1</v>
      </c>
      <c r="F9" s="9">
        <v>0</v>
      </c>
      <c r="G9" s="9">
        <v>1</v>
      </c>
      <c r="H9" s="9">
        <v>3</v>
      </c>
      <c r="I9" s="9">
        <v>5</v>
      </c>
      <c r="J9" s="9">
        <v>10</v>
      </c>
      <c r="K9" s="9">
        <v>30</v>
      </c>
      <c r="L9" s="4" t="s">
        <v>4</v>
      </c>
      <c r="M9" s="2" t="s">
        <v>2</v>
      </c>
      <c r="N9" s="2" t="s">
        <v>2</v>
      </c>
    </row>
    <row r="10" spans="2:15" ht="15" x14ac:dyDescent="0.25">
      <c r="E10" s="5">
        <v>0</v>
      </c>
      <c r="F10" s="10">
        <v>5.0000000000000001E-3</v>
      </c>
      <c r="G10" s="10">
        <v>6.0000000000000001E-3</v>
      </c>
      <c r="H10" s="10">
        <v>7.4999999999999997E-3</v>
      </c>
      <c r="I10" s="10">
        <v>0.01</v>
      </c>
      <c r="J10" s="10">
        <v>1.4999999999999999E-2</v>
      </c>
      <c r="K10" s="10">
        <v>2.2499999999999999E-2</v>
      </c>
    </row>
    <row r="11" spans="2:15" x14ac:dyDescent="0.2">
      <c r="E11" s="5">
        <f>E10+$C$9</f>
        <v>0.05</v>
      </c>
      <c r="F11" s="5">
        <f ca="1">F10+F$4*$C$9+SQRT($C$9)*F$5*$M11+SQRT($C$9)*F$6*$N11+(G10-F10)/(G$9-F$9)*$C$9</f>
        <v>2.7588280245521646E-3</v>
      </c>
      <c r="G11" s="5">
        <f ca="1">G10+G$4*$C$9+SQRT($C$9)*G$5*$M11+SQRT($C$9)*G$6*$N11+(H10-G10)/(H$9-G$9)*$C$9</f>
        <v>3.9227927256644786E-3</v>
      </c>
      <c r="H11" s="5">
        <f ca="1">H10+H$4*$C$9+SQRT($C$9)*H$5*$M11+SQRT($C$9)*H$6*$N11+(I10-H10)/(I$9-H$9)*$C$9</f>
        <v>5.7995300028891063E-3</v>
      </c>
      <c r="I11" s="5">
        <f ca="1">I10+I$4*$C$9+SQRT($C$9)*I$5*$M11+SQRT($C$9)*I$6*$N11+(J10-I10)/(J$9-I$9)*$C$9</f>
        <v>8.6379002801137347E-3</v>
      </c>
      <c r="J11" s="5">
        <f ca="1">J10+J$4*$C$9+SQRT($C$9)*J$5*$M11+SQRT($C$9)*J$6*$N11+(K10-J10)/(K$9-J$9)*$C$9</f>
        <v>1.4485722535675304E-2</v>
      </c>
      <c r="K11" s="5">
        <f>K10</f>
        <v>2.2499999999999999E-2</v>
      </c>
      <c r="M11" s="5">
        <f ca="1">RAND()+RAND()+RAND()+RAND()+RAND()+RAND()+RAND()+RAND()+RAND()+RAND()+RAND()+RAND()-6</f>
        <v>-0.79833201307852431</v>
      </c>
      <c r="N11" s="5">
        <f ca="1">RAND()+RAND()+RAND()+RAND()+RAND()+RAND()+RAND()+RAND()+RAND()+RAND()+RAND()+RAND()-6</f>
        <v>-0.9081826978492904</v>
      </c>
    </row>
    <row r="12" spans="2:15" x14ac:dyDescent="0.2">
      <c r="E12" s="5">
        <f t="shared" ref="E12:E75" si="3">E11+$C$9</f>
        <v>0.1</v>
      </c>
      <c r="F12" s="5">
        <f t="shared" ref="F12:F75" ca="1" si="4">F11+F$4*$C$9+SQRT($C$9)*F$5*$M12+SQRT($C$9)*F$6*$N12+(G11-F11)/(G$9-F$9)*$C$9</f>
        <v>-5.2066903706478361E-4</v>
      </c>
      <c r="G12" s="5">
        <f t="shared" ref="G12:G75" ca="1" si="5">G11+G$4*$C$9+SQRT($C$9)*G$5*$M12+SQRT($C$9)*G$6*$N12+(H11-G11)/(H$9-G$9)*$C$9</f>
        <v>7.8730950725334797E-4</v>
      </c>
      <c r="H12" s="5">
        <f t="shared" ref="H12:H75" ca="1" si="6">H11+H$4*$C$9+SQRT($C$9)*H$5*$M12+SQRT($C$9)*H$6*$N12+(I11-H11)/(I$9-H$9)*$C$9</f>
        <v>2.9974827771396097E-3</v>
      </c>
      <c r="I12" s="5">
        <f t="shared" ref="I12:I75" ca="1" si="7">I11+I$4*$C$9+SQRT($C$9)*I$5*$M12+SQRT($C$9)*I$6*$N12+(J11-I11)/(J$9-I$9)*$C$9</f>
        <v>6.1319001876508732E-3</v>
      </c>
      <c r="J12" s="5">
        <f t="shared" ref="J12:J75" ca="1" si="8">J11+J$4*$C$9+SQRT($C$9)*J$5*$M12+SQRT($C$9)*J$6*$N12+(K11-J11)/(K$9-J$9)*$C$9</f>
        <v>1.2714496895971723E-2</v>
      </c>
      <c r="K12" s="5">
        <f t="shared" ref="K12:K75" si="9">K11</f>
        <v>2.2499999999999999E-2</v>
      </c>
      <c r="M12" s="5">
        <f t="shared" ref="M12:N75" ca="1" si="10">RAND()+RAND()+RAND()+RAND()+RAND()+RAND()+RAND()+RAND()+RAND()+RAND()+RAND()+RAND()-6</f>
        <v>-1.4425312317113583</v>
      </c>
      <c r="N12" s="5">
        <f t="shared" ca="1" si="10"/>
        <v>-0.79679465632741042</v>
      </c>
    </row>
    <row r="13" spans="2:15" x14ac:dyDescent="0.2">
      <c r="C13" s="8"/>
      <c r="E13" s="5">
        <f t="shared" si="3"/>
        <v>0.15000000000000002</v>
      </c>
      <c r="F13" s="5">
        <f t="shared" ca="1" si="4"/>
        <v>-9.7450810369207924E-4</v>
      </c>
      <c r="G13" s="5">
        <f t="shared" ca="1" si="5"/>
        <v>5.0693234525107391E-4</v>
      </c>
      <c r="H13" s="5">
        <f t="shared" ca="1" si="6"/>
        <v>3.1062325938405041E-3</v>
      </c>
      <c r="I13" s="5">
        <f t="shared" ca="1" si="7"/>
        <v>6.5932694113597385E-3</v>
      </c>
      <c r="J13" s="5">
        <f t="shared" ca="1" si="8"/>
        <v>1.4049285160826309E-2</v>
      </c>
      <c r="K13" s="5">
        <f t="shared" si="9"/>
        <v>2.2499999999999999E-2</v>
      </c>
      <c r="M13" s="5">
        <f t="shared" ca="1" si="10"/>
        <v>0.21217113055415382</v>
      </c>
      <c r="N13" s="5">
        <f t="shared" ca="1" si="10"/>
        <v>-0.9457581049179451</v>
      </c>
    </row>
    <row r="14" spans="2:15" x14ac:dyDescent="0.2">
      <c r="E14" s="5">
        <f t="shared" si="3"/>
        <v>0.2</v>
      </c>
      <c r="F14" s="5">
        <f t="shared" ca="1" si="4"/>
        <v>-4.9041441967459321E-3</v>
      </c>
      <c r="G14" s="5">
        <f t="shared" ca="1" si="5"/>
        <v>-3.2100776164722955E-3</v>
      </c>
      <c r="H14" s="5">
        <f t="shared" ca="1" si="6"/>
        <v>-1.4634478353381196E-4</v>
      </c>
      <c r="I14" s="5">
        <f t="shared" ca="1" si="7"/>
        <v>3.7694484411679163E-3</v>
      </c>
      <c r="J14" s="5">
        <f t="shared" ca="1" si="8"/>
        <v>1.2277357808052275E-2</v>
      </c>
      <c r="K14" s="5">
        <f t="shared" si="9"/>
        <v>2.2499999999999999E-2</v>
      </c>
      <c r="M14" s="5">
        <f t="shared" ca="1" si="10"/>
        <v>-1.6291885784623705</v>
      </c>
      <c r="N14" s="5">
        <f t="shared" ca="1" si="10"/>
        <v>-1.1462631503427554</v>
      </c>
    </row>
    <row r="15" spans="2:15" x14ac:dyDescent="0.2">
      <c r="E15" s="5">
        <f t="shared" si="3"/>
        <v>0.25</v>
      </c>
      <c r="F15" s="5">
        <f t="shared" ca="1" si="4"/>
        <v>-4.9568778582461601E-3</v>
      </c>
      <c r="G15" s="5">
        <f t="shared" ca="1" si="5"/>
        <v>-3.4077838734588896E-3</v>
      </c>
      <c r="H15" s="5">
        <f t="shared" ca="1" si="6"/>
        <v>-5.9766683031861666E-4</v>
      </c>
      <c r="I15" s="5">
        <f t="shared" ca="1" si="7"/>
        <v>3.0295263578421199E-3</v>
      </c>
      <c r="J15" s="5">
        <f t="shared" ca="1" si="8"/>
        <v>1.0790349050056774E-2</v>
      </c>
      <c r="K15" s="5">
        <f t="shared" si="9"/>
        <v>2.2499999999999999E-2</v>
      </c>
      <c r="M15" s="5">
        <f t="shared" ca="1" si="10"/>
        <v>-0.47013395022933668</v>
      </c>
      <c r="N15" s="5">
        <f t="shared" ca="1" si="10"/>
        <v>0.74033757529658839</v>
      </c>
    </row>
    <row r="16" spans="2:15" x14ac:dyDescent="0.2">
      <c r="E16" s="5">
        <f t="shared" si="3"/>
        <v>0.3</v>
      </c>
      <c r="F16" s="5">
        <f t="shared" ca="1" si="4"/>
        <v>-6.2568573382450199E-3</v>
      </c>
      <c r="G16" s="5">
        <f t="shared" ca="1" si="5"/>
        <v>-4.5296160875038637E-3</v>
      </c>
      <c r="H16" s="5">
        <f t="shared" ca="1" si="6"/>
        <v>-1.3295661875085943E-3</v>
      </c>
      <c r="I16" s="5">
        <f t="shared" ca="1" si="7"/>
        <v>2.6531943510997554E-3</v>
      </c>
      <c r="J16" s="5">
        <f t="shared" ca="1" si="8"/>
        <v>1.1289176889340833E-2</v>
      </c>
      <c r="K16" s="5">
        <f t="shared" si="9"/>
        <v>2.2499999999999999E-2</v>
      </c>
      <c r="M16" s="5">
        <f t="shared" ca="1" si="10"/>
        <v>-0.26270457695899552</v>
      </c>
      <c r="N16" s="5">
        <f t="shared" ca="1" si="10"/>
        <v>-0.95492618892814818</v>
      </c>
    </row>
    <row r="17" spans="3:14" x14ac:dyDescent="0.2">
      <c r="E17" s="5">
        <f t="shared" si="3"/>
        <v>0.35</v>
      </c>
      <c r="F17" s="5">
        <f t="shared" ca="1" si="4"/>
        <v>-8.0503677892212432E-3</v>
      </c>
      <c r="G17" s="5">
        <f t="shared" ca="1" si="5"/>
        <v>-6.2388931002096189E-3</v>
      </c>
      <c r="H17" s="5">
        <f t="shared" ca="1" si="6"/>
        <v>-2.8392790526337321E-3</v>
      </c>
      <c r="I17" s="5">
        <f t="shared" ca="1" si="7"/>
        <v>1.3094016795071096E-3</v>
      </c>
      <c r="J17" s="5">
        <f t="shared" ca="1" si="8"/>
        <v>1.0336771466680652E-2</v>
      </c>
      <c r="K17" s="5">
        <f t="shared" si="9"/>
        <v>2.2499999999999999E-2</v>
      </c>
      <c r="M17" s="5">
        <f t="shared" ca="1" si="10"/>
        <v>-0.80842382226682119</v>
      </c>
      <c r="N17" s="5">
        <f t="shared" ca="1" si="10"/>
        <v>-0.45638938361496706</v>
      </c>
    </row>
    <row r="18" spans="3:14" x14ac:dyDescent="0.2">
      <c r="E18" s="5">
        <f t="shared" si="3"/>
        <v>0.39999999999999997</v>
      </c>
      <c r="F18" s="5">
        <f t="shared" ca="1" si="4"/>
        <v>-8.4018335333931916E-3</v>
      </c>
      <c r="G18" s="5">
        <f t="shared" ca="1" si="5"/>
        <v>-6.3555289380132669E-3</v>
      </c>
      <c r="H18" s="5">
        <f t="shared" ca="1" si="6"/>
        <v>-2.4575537690642896E-3</v>
      </c>
      <c r="I18" s="5">
        <f t="shared" ca="1" si="7"/>
        <v>2.1564510969037335E-3</v>
      </c>
      <c r="J18" s="5">
        <f t="shared" ca="1" si="8"/>
        <v>1.2322770455686258E-2</v>
      </c>
      <c r="K18" s="5">
        <f t="shared" si="9"/>
        <v>2.2499999999999999E-2</v>
      </c>
      <c r="M18" s="5">
        <f t="shared" ca="1" si="10"/>
        <v>0.41410621623474242</v>
      </c>
      <c r="N18" s="5">
        <f t="shared" ca="1" si="10"/>
        <v>-1.2446377354717697</v>
      </c>
    </row>
    <row r="19" spans="3:14" x14ac:dyDescent="0.2">
      <c r="E19" s="5">
        <f t="shared" si="3"/>
        <v>0.44999999999999996</v>
      </c>
      <c r="F19" s="5">
        <f t="shared" ca="1" si="4"/>
        <v>-7.9732306595127426E-3</v>
      </c>
      <c r="G19" s="5">
        <f t="shared" ca="1" si="5"/>
        <v>-5.7352448654284811E-3</v>
      </c>
      <c r="H19" s="5">
        <f t="shared" ca="1" si="6"/>
        <v>-1.4274669805548143E-3</v>
      </c>
      <c r="I19" s="5">
        <f t="shared" ca="1" si="7"/>
        <v>3.5638859308510479E-3</v>
      </c>
      <c r="J19" s="5">
        <f t="shared" ca="1" si="8"/>
        <v>1.4633469166154567E-2</v>
      </c>
      <c r="K19" s="5">
        <f t="shared" si="9"/>
        <v>2.2499999999999999E-2</v>
      </c>
      <c r="M19" s="5">
        <f t="shared" ca="1" si="10"/>
        <v>0.72100426582380717</v>
      </c>
      <c r="N19" s="5">
        <f t="shared" ca="1" si="10"/>
        <v>-1.0138426874558872</v>
      </c>
    </row>
    <row r="20" spans="3:14" x14ac:dyDescent="0.2">
      <c r="E20" s="5">
        <f t="shared" si="3"/>
        <v>0.49999999999999994</v>
      </c>
      <c r="F20" s="5">
        <f t="shared" ca="1" si="4"/>
        <v>-4.9892897989748724E-3</v>
      </c>
      <c r="G20" s="5">
        <f t="shared" ca="1" si="5"/>
        <v>-3.0295546471743456E-3</v>
      </c>
      <c r="H20" s="5">
        <f t="shared" ca="1" si="6"/>
        <v>7.4602888895989965E-4</v>
      </c>
      <c r="I20" s="5">
        <f t="shared" ca="1" si="7"/>
        <v>5.1731430855309251E-3</v>
      </c>
      <c r="J20" s="5">
        <f t="shared" ca="1" si="8"/>
        <v>1.4778216567059209E-2</v>
      </c>
      <c r="K20" s="5">
        <f t="shared" si="9"/>
        <v>2.2499999999999999E-2</v>
      </c>
      <c r="M20" s="5">
        <f t="shared" ca="1" si="10"/>
        <v>0.82877697438369857</v>
      </c>
      <c r="N20" s="5">
        <f t="shared" ca="1" si="10"/>
        <v>1.4621046066139005</v>
      </c>
    </row>
    <row r="21" spans="3:14" x14ac:dyDescent="0.2">
      <c r="E21" s="5">
        <f t="shared" si="3"/>
        <v>0.54999999999999993</v>
      </c>
      <c r="F21" s="5">
        <f t="shared" ca="1" si="4"/>
        <v>-2.0818977893372224E-3</v>
      </c>
      <c r="G21" s="5">
        <f t="shared" ca="1" si="5"/>
        <v>-4.9946722450215024E-4</v>
      </c>
      <c r="H21" s="5">
        <f t="shared" ca="1" si="6"/>
        <v>2.5437976175854454E-3</v>
      </c>
      <c r="I21" s="5">
        <f t="shared" ca="1" si="7"/>
        <v>6.2068107334999094E-3</v>
      </c>
      <c r="J21" s="5">
        <f t="shared" ca="1" si="8"/>
        <v>1.3863349599901341E-2</v>
      </c>
      <c r="K21" s="5">
        <f t="shared" si="9"/>
        <v>2.2499999999999999E-2</v>
      </c>
      <c r="M21" s="5">
        <f t="shared" ca="1" si="10"/>
        <v>0.51519951675629905</v>
      </c>
      <c r="N21" s="5">
        <f t="shared" ca="1" si="10"/>
        <v>1.9864579072462218</v>
      </c>
    </row>
    <row r="22" spans="3:14" x14ac:dyDescent="0.2">
      <c r="E22" s="5">
        <f t="shared" si="3"/>
        <v>0.6</v>
      </c>
      <c r="F22" s="5">
        <f t="shared" ca="1" si="4"/>
        <v>3.0737368118858455E-3</v>
      </c>
      <c r="G22" s="5">
        <f t="shared" ca="1" si="5"/>
        <v>4.6466234167083734E-3</v>
      </c>
      <c r="H22" s="5">
        <f t="shared" ca="1" si="6"/>
        <v>7.6911817349956764E-3</v>
      </c>
      <c r="I22" s="5">
        <f t="shared" ca="1" si="7"/>
        <v>1.1324117681030331E-2</v>
      </c>
      <c r="J22" s="5">
        <f t="shared" ca="1" si="8"/>
        <v>1.8889911270653089E-2</v>
      </c>
      <c r="K22" s="5">
        <f t="shared" si="9"/>
        <v>2.2499999999999999E-2</v>
      </c>
      <c r="M22" s="5">
        <f t="shared" ca="1" si="10"/>
        <v>2.8089159237483869</v>
      </c>
      <c r="N22" s="5">
        <f t="shared" ca="1" si="10"/>
        <v>5.447747052189289E-2</v>
      </c>
    </row>
    <row r="23" spans="3:14" x14ac:dyDescent="0.2">
      <c r="E23" s="5">
        <f t="shared" si="3"/>
        <v>0.65</v>
      </c>
      <c r="F23" s="5">
        <f t="shared" ca="1" si="4"/>
        <v>3.7400162451370921E-3</v>
      </c>
      <c r="G23" s="5">
        <f t="shared" ca="1" si="5"/>
        <v>5.5108262380325736E-3</v>
      </c>
      <c r="H23" s="5">
        <f t="shared" ca="1" si="6"/>
        <v>8.9698093927273546E-3</v>
      </c>
      <c r="I23" s="5">
        <f t="shared" ca="1" si="7"/>
        <v>1.2986428271721168E-2</v>
      </c>
      <c r="J23" s="5">
        <f t="shared" ca="1" si="8"/>
        <v>2.1484606699055549E-2</v>
      </c>
      <c r="K23" s="5">
        <f t="shared" si="9"/>
        <v>2.2499999999999999E-2</v>
      </c>
      <c r="M23" s="5">
        <f t="shared" ca="1" si="10"/>
        <v>0.87802152629031305</v>
      </c>
      <c r="N23" s="5">
        <f t="shared" ca="1" si="10"/>
        <v>-1.0343972088778974</v>
      </c>
    </row>
    <row r="24" spans="3:14" x14ac:dyDescent="0.2">
      <c r="E24" s="5">
        <f t="shared" si="3"/>
        <v>0.70000000000000007</v>
      </c>
      <c r="F24" s="5">
        <f t="shared" ca="1" si="4"/>
        <v>3.548328804063789E-3</v>
      </c>
      <c r="G24" s="5">
        <f t="shared" ca="1" si="5"/>
        <v>5.4897766620544556E-3</v>
      </c>
      <c r="H24" s="5">
        <f t="shared" ca="1" si="6"/>
        <v>9.3069161566018931E-3</v>
      </c>
      <c r="I24" s="5">
        <f t="shared" ca="1" si="7"/>
        <v>1.3651449794639383E-2</v>
      </c>
      <c r="J24" s="5">
        <f t="shared" ca="1" si="8"/>
        <v>2.2927452600315729E-2</v>
      </c>
      <c r="K24" s="5">
        <f t="shared" si="9"/>
        <v>2.2499999999999999E-2</v>
      </c>
      <c r="M24" s="5">
        <f t="shared" ca="1" si="10"/>
        <v>0.31530779940528664</v>
      </c>
      <c r="N24" s="5">
        <f t="shared" ca="1" si="10"/>
        <v>-0.88839525753484683</v>
      </c>
    </row>
    <row r="25" spans="3:14" x14ac:dyDescent="0.2">
      <c r="E25" s="5">
        <f t="shared" si="3"/>
        <v>0.75000000000000011</v>
      </c>
      <c r="F25" s="5">
        <f t="shared" ca="1" si="4"/>
        <v>5.0171083185753503E-3</v>
      </c>
      <c r="G25" s="5">
        <f t="shared" ca="1" si="5"/>
        <v>6.7879659099837533E-3</v>
      </c>
      <c r="H25" s="5">
        <f t="shared" ca="1" si="6"/>
        <v>1.0279205411025612E-2</v>
      </c>
      <c r="I25" s="5">
        <f t="shared" ca="1" si="7"/>
        <v>1.4267933889076097E-2</v>
      </c>
      <c r="J25" s="5">
        <f t="shared" ca="1" si="8"/>
        <v>2.260212497996281E-2</v>
      </c>
      <c r="K25" s="5">
        <f t="shared" si="9"/>
        <v>2.2499999999999999E-2</v>
      </c>
      <c r="M25" s="5">
        <f t="shared" ca="1" si="10"/>
        <v>0.2838263815595452</v>
      </c>
      <c r="N25" s="5">
        <f t="shared" ca="1" si="10"/>
        <v>0.9091411025444156</v>
      </c>
    </row>
    <row r="26" spans="3:14" x14ac:dyDescent="0.2">
      <c r="E26" s="5">
        <f t="shared" si="3"/>
        <v>0.80000000000000016</v>
      </c>
      <c r="F26" s="5">
        <f t="shared" ca="1" si="4"/>
        <v>1.1805127350217762E-4</v>
      </c>
      <c r="G26" s="5">
        <f t="shared" ca="1" si="5"/>
        <v>2.0124862778575598E-3</v>
      </c>
      <c r="H26" s="5">
        <f t="shared" ca="1" si="6"/>
        <v>5.7646494883073392E-3</v>
      </c>
      <c r="I26" s="5">
        <f t="shared" ca="1" si="7"/>
        <v>9.9846211502981341E-3</v>
      </c>
      <c r="J26" s="5">
        <f t="shared" ca="1" si="8"/>
        <v>1.8856160292782833E-2</v>
      </c>
      <c r="K26" s="5">
        <f t="shared" si="9"/>
        <v>2.2499999999999999E-2</v>
      </c>
      <c r="M26" s="5">
        <f t="shared" ca="1" si="10"/>
        <v>-2.4499784296513196</v>
      </c>
      <c r="N26" s="5">
        <f t="shared" ca="1" si="10"/>
        <v>-0.63656412116264605</v>
      </c>
    </row>
    <row r="27" spans="3:14" x14ac:dyDescent="0.2">
      <c r="E27" s="5">
        <f t="shared" si="3"/>
        <v>0.8500000000000002</v>
      </c>
      <c r="F27" s="5">
        <f t="shared" ca="1" si="4"/>
        <v>-1.8432469953734354E-3</v>
      </c>
      <c r="G27" s="5">
        <f t="shared" ca="1" si="5"/>
        <v>-5.7954905774959791E-5</v>
      </c>
      <c r="H27" s="5">
        <f t="shared" ca="1" si="6"/>
        <v>3.4882609013625805E-3</v>
      </c>
      <c r="I27" s="5">
        <f t="shared" ca="1" si="7"/>
        <v>7.4729390486276892E-3</v>
      </c>
      <c r="J27" s="5">
        <f t="shared" ca="1" si="8"/>
        <v>1.5720494924953671E-2</v>
      </c>
      <c r="K27" s="5">
        <f t="shared" si="9"/>
        <v>2.2499999999999999E-2</v>
      </c>
      <c r="M27" s="5">
        <f t="shared" ca="1" si="10"/>
        <v>-1.4626106626802775</v>
      </c>
      <c r="N27" s="5">
        <f t="shared" ca="1" si="10"/>
        <v>0.58966688231900832</v>
      </c>
    </row>
    <row r="28" spans="3:14" x14ac:dyDescent="0.2">
      <c r="E28" s="5">
        <f t="shared" si="3"/>
        <v>0.90000000000000024</v>
      </c>
      <c r="F28" s="5">
        <f t="shared" ca="1" si="4"/>
        <v>1.9143273637534732E-4</v>
      </c>
      <c r="G28" s="5">
        <f t="shared" ca="1" si="5"/>
        <v>1.9255538746905526E-3</v>
      </c>
      <c r="H28" s="5">
        <f t="shared" ca="1" si="6"/>
        <v>5.380415631367712E-3</v>
      </c>
      <c r="I28" s="5">
        <f t="shared" ca="1" si="7"/>
        <v>9.2447697747508831E-3</v>
      </c>
      <c r="J28" s="5">
        <f t="shared" ca="1" si="8"/>
        <v>1.7170738895092297E-2</v>
      </c>
      <c r="K28" s="5">
        <f t="shared" si="9"/>
        <v>2.2499999999999999E-2</v>
      </c>
      <c r="M28" s="5">
        <f t="shared" ca="1" si="10"/>
        <v>0.9354339761793371</v>
      </c>
      <c r="N28" s="5">
        <f t="shared" ca="1" si="10"/>
        <v>0.28627979497045875</v>
      </c>
    </row>
    <row r="29" spans="3:14" x14ac:dyDescent="0.2">
      <c r="E29" s="5">
        <f t="shared" si="3"/>
        <v>0.95000000000000029</v>
      </c>
      <c r="F29" s="5">
        <f t="shared" ca="1" si="4"/>
        <v>1.9050358710875008E-3</v>
      </c>
      <c r="G29" s="5">
        <f t="shared" ca="1" si="5"/>
        <v>3.5158911274110918E-3</v>
      </c>
      <c r="H29" s="5">
        <f t="shared" ca="1" si="6"/>
        <v>6.7339353307703355E-3</v>
      </c>
      <c r="I29" s="5">
        <f t="shared" ca="1" si="7"/>
        <v>1.0333018448786776E-2</v>
      </c>
      <c r="J29" s="5">
        <f t="shared" ca="1" si="8"/>
        <v>1.7575142935723133E-2</v>
      </c>
      <c r="K29" s="5">
        <f t="shared" si="9"/>
        <v>2.2499999999999999E-2</v>
      </c>
      <c r="M29" s="5">
        <f t="shared" ca="1" si="10"/>
        <v>0.55509771663044827</v>
      </c>
      <c r="N29" s="5">
        <f t="shared" ca="1" si="10"/>
        <v>0.66704074909492039</v>
      </c>
    </row>
    <row r="30" spans="3:14" x14ac:dyDescent="0.2">
      <c r="C30" s="8"/>
      <c r="E30" s="5">
        <f t="shared" si="3"/>
        <v>1.0000000000000002</v>
      </c>
      <c r="F30" s="5">
        <f t="shared" ca="1" si="4"/>
        <v>2.5220003354133411E-3</v>
      </c>
      <c r="G30" s="5">
        <f t="shared" ca="1" si="5"/>
        <v>4.2725896209829103E-3</v>
      </c>
      <c r="H30" s="5">
        <f t="shared" ca="1" si="6"/>
        <v>7.7786190461649361E-3</v>
      </c>
      <c r="I30" s="5">
        <f t="shared" ca="1" si="7"/>
        <v>1.1637738580056685E-2</v>
      </c>
      <c r="J30" s="5">
        <f t="shared" ca="1" si="8"/>
        <v>1.9515631149675253E-2</v>
      </c>
      <c r="K30" s="5">
        <f t="shared" si="9"/>
        <v>2.2499999999999999E-2</v>
      </c>
      <c r="M30" s="5">
        <f t="shared" ca="1" si="10"/>
        <v>0.67993174773722753</v>
      </c>
      <c r="N30" s="5">
        <f t="shared" ca="1" si="10"/>
        <v>-0.71541251847868548</v>
      </c>
    </row>
    <row r="31" spans="3:14" x14ac:dyDescent="0.2">
      <c r="E31" s="5">
        <f t="shared" si="3"/>
        <v>1.0500000000000003</v>
      </c>
      <c r="F31" s="5">
        <f t="shared" ca="1" si="4"/>
        <v>2.6814971753093106E-3</v>
      </c>
      <c r="G31" s="5">
        <f t="shared" ca="1" si="5"/>
        <v>4.2876997003117676E-3</v>
      </c>
      <c r="H31" s="5">
        <f t="shared" ca="1" si="6"/>
        <v>7.5123481893751677E-3</v>
      </c>
      <c r="I31" s="5">
        <f t="shared" ca="1" si="7"/>
        <v>1.106269347177944E-2</v>
      </c>
      <c r="J31" s="5">
        <f t="shared" ca="1" si="8"/>
        <v>1.8143476628236711E-2</v>
      </c>
      <c r="K31" s="5">
        <f t="shared" si="9"/>
        <v>2.2499999999999999E-2</v>
      </c>
      <c r="M31" s="5">
        <f t="shared" ca="1" si="10"/>
        <v>-0.37444301823193005</v>
      </c>
      <c r="N31" s="5">
        <f t="shared" ca="1" si="10"/>
        <v>0.78056283151561967</v>
      </c>
    </row>
    <row r="32" spans="3:14" x14ac:dyDescent="0.2">
      <c r="E32" s="5">
        <f t="shared" si="3"/>
        <v>1.1000000000000003</v>
      </c>
      <c r="F32" s="5">
        <f t="shared" ca="1" si="4"/>
        <v>4.750975765486715E-3</v>
      </c>
      <c r="G32" s="5">
        <f t="shared" ca="1" si="5"/>
        <v>6.393955021135129E-3</v>
      </c>
      <c r="H32" s="5">
        <f t="shared" ca="1" si="6"/>
        <v>9.6984950943710402E-3</v>
      </c>
      <c r="I32" s="5">
        <f t="shared" ca="1" si="7"/>
        <v>1.3301771740618766E-2</v>
      </c>
      <c r="J32" s="5">
        <f t="shared" ca="1" si="8"/>
        <v>2.0501740347288345E-2</v>
      </c>
      <c r="K32" s="5">
        <f t="shared" si="9"/>
        <v>2.2499999999999999E-2</v>
      </c>
      <c r="M32" s="5">
        <f t="shared" ca="1" si="10"/>
        <v>1.2031557509273858</v>
      </c>
      <c r="N32" s="5">
        <f t="shared" ca="1" si="10"/>
        <v>-0.17162687043261293</v>
      </c>
    </row>
    <row r="33" spans="5:14" x14ac:dyDescent="0.2">
      <c r="E33" s="5">
        <f t="shared" si="3"/>
        <v>1.1500000000000004</v>
      </c>
      <c r="F33" s="5">
        <f t="shared" ca="1" si="4"/>
        <v>1.2698397465559746E-3</v>
      </c>
      <c r="G33" s="5">
        <f t="shared" ca="1" si="5"/>
        <v>3.2101194375576975E-3</v>
      </c>
      <c r="H33" s="5">
        <f t="shared" ca="1" si="6"/>
        <v>7.1146075927285678E-3</v>
      </c>
      <c r="I33" s="5">
        <f t="shared" ca="1" si="7"/>
        <v>1.1291414676496461E-2</v>
      </c>
      <c r="J33" s="5">
        <f t="shared" ca="1" si="8"/>
        <v>1.990530747775528E-2</v>
      </c>
      <c r="K33" s="5">
        <f t="shared" si="9"/>
        <v>2.2499999999999999E-2</v>
      </c>
      <c r="M33" s="5">
        <f t="shared" ca="1" si="10"/>
        <v>-1.1730170836170384</v>
      </c>
      <c r="N33" s="5">
        <f t="shared" ca="1" si="10"/>
        <v>-1.5414960507513271</v>
      </c>
    </row>
    <row r="34" spans="5:14" x14ac:dyDescent="0.2">
      <c r="E34" s="5">
        <f t="shared" si="3"/>
        <v>1.2000000000000004</v>
      </c>
      <c r="F34" s="5">
        <f t="shared" ca="1" si="4"/>
        <v>1.7296204156799196E-3</v>
      </c>
      <c r="G34" s="5">
        <f t="shared" ca="1" si="5"/>
        <v>3.9579516283326033E-3</v>
      </c>
      <c r="H34" s="5">
        <f t="shared" ca="1" si="6"/>
        <v>8.4429622363619526E-3</v>
      </c>
      <c r="I34" s="5">
        <f t="shared" ca="1" si="7"/>
        <v>1.3174335550691788E-2</v>
      </c>
      <c r="J34" s="5">
        <f t="shared" ca="1" si="8"/>
        <v>2.3142591416852511E-2</v>
      </c>
      <c r="K34" s="5">
        <f t="shared" si="9"/>
        <v>2.2499999999999999E-2</v>
      </c>
      <c r="M34" s="5">
        <f t="shared" ca="1" si="10"/>
        <v>0.99548737119224384</v>
      </c>
      <c r="N34" s="5">
        <f t="shared" ca="1" si="10"/>
        <v>-1.4921310673362838</v>
      </c>
    </row>
    <row r="35" spans="5:14" x14ac:dyDescent="0.2">
      <c r="E35" s="5">
        <f t="shared" si="3"/>
        <v>1.2500000000000004</v>
      </c>
      <c r="F35" s="5">
        <f t="shared" ca="1" si="4"/>
        <v>4.6612974576056409E-3</v>
      </c>
      <c r="G35" s="5">
        <f t="shared" ca="1" si="5"/>
        <v>6.9966219840664244E-3</v>
      </c>
      <c r="H35" s="5">
        <f t="shared" ca="1" si="6"/>
        <v>1.1699168753233286E-2</v>
      </c>
      <c r="I35" s="5">
        <f t="shared" ca="1" si="7"/>
        <v>1.6622450386846482E-2</v>
      </c>
      <c r="J35" s="5">
        <f t="shared" ca="1" si="8"/>
        <v>2.7017589012003473E-2</v>
      </c>
      <c r="K35" s="5">
        <f t="shared" si="9"/>
        <v>2.2499999999999999E-2</v>
      </c>
      <c r="M35" s="5">
        <f t="shared" ca="1" si="10"/>
        <v>1.8628862757222473</v>
      </c>
      <c r="N35" s="5">
        <f t="shared" ca="1" si="10"/>
        <v>-0.53894162468770546</v>
      </c>
    </row>
    <row r="36" spans="5:14" x14ac:dyDescent="0.2">
      <c r="E36" s="5">
        <f t="shared" si="3"/>
        <v>1.3000000000000005</v>
      </c>
      <c r="F36" s="5">
        <f t="shared" ca="1" si="4"/>
        <v>1.6953655484947237E-3</v>
      </c>
      <c r="G36" s="5">
        <f t="shared" ca="1" si="5"/>
        <v>4.1330716077546629E-3</v>
      </c>
      <c r="H36" s="5">
        <f t="shared" ca="1" si="6"/>
        <v>9.04311280331873E-3</v>
      </c>
      <c r="I36" s="5">
        <f t="shared" ca="1" si="7"/>
        <v>1.4148372837129213E-2</v>
      </c>
      <c r="J36" s="5">
        <f t="shared" ca="1" si="8"/>
        <v>2.4932935302969743E-2</v>
      </c>
      <c r="K36" s="5">
        <f t="shared" si="9"/>
        <v>2.2499999999999999E-2</v>
      </c>
      <c r="M36" s="5">
        <f t="shared" ca="1" si="10"/>
        <v>-1.4501062591069429</v>
      </c>
      <c r="N36" s="5">
        <f t="shared" ca="1" si="10"/>
        <v>-0.51421061106560373</v>
      </c>
    </row>
    <row r="37" spans="5:14" x14ac:dyDescent="0.2">
      <c r="E37" s="5">
        <f t="shared" si="3"/>
        <v>1.3500000000000005</v>
      </c>
      <c r="F37" s="5">
        <f t="shared" ca="1" si="4"/>
        <v>7.2996198960135182E-4</v>
      </c>
      <c r="G37" s="5">
        <f t="shared" ca="1" si="5"/>
        <v>3.1510353394077935E-3</v>
      </c>
      <c r="H37" s="5">
        <f t="shared" ca="1" si="6"/>
        <v>8.0297680081688159E-3</v>
      </c>
      <c r="I37" s="5">
        <f t="shared" ca="1" si="7"/>
        <v>1.3078186168033237E-2</v>
      </c>
      <c r="J37" s="5">
        <f t="shared" ca="1" si="8"/>
        <v>2.3658077239059924E-2</v>
      </c>
      <c r="K37" s="5">
        <f t="shared" si="9"/>
        <v>2.2499999999999999E-2</v>
      </c>
      <c r="M37" s="5">
        <f t="shared" ca="1" si="10"/>
        <v>-0.66748434404119905</v>
      </c>
      <c r="N37" s="5">
        <f t="shared" ca="1" si="10"/>
        <v>0.11232262111791869</v>
      </c>
    </row>
    <row r="38" spans="5:14" x14ac:dyDescent="0.2">
      <c r="E38" s="5">
        <f t="shared" si="3"/>
        <v>1.4000000000000006</v>
      </c>
      <c r="F38" s="5">
        <f t="shared" ca="1" si="4"/>
        <v>-3.1935093637965094E-4</v>
      </c>
      <c r="G38" s="5">
        <f t="shared" ca="1" si="5"/>
        <v>2.2683520490584092E-3</v>
      </c>
      <c r="H38" s="5">
        <f t="shared" ca="1" si="6"/>
        <v>7.4815647029028457E-3</v>
      </c>
      <c r="I38" s="5">
        <f t="shared" ca="1" si="7"/>
        <v>1.2838942167286753E-2</v>
      </c>
      <c r="J38" s="5">
        <f t="shared" ca="1" si="8"/>
        <v>2.4135462816520098E-2</v>
      </c>
      <c r="K38" s="5">
        <f t="shared" si="9"/>
        <v>2.2499999999999999E-2</v>
      </c>
      <c r="M38" s="5">
        <f t="shared" ca="1" si="10"/>
        <v>-0.20182912320293322</v>
      </c>
      <c r="N38" s="5">
        <f t="shared" ca="1" si="10"/>
        <v>-0.85162483236941711</v>
      </c>
    </row>
    <row r="39" spans="5:14" x14ac:dyDescent="0.2">
      <c r="E39" s="5">
        <f t="shared" si="3"/>
        <v>1.4500000000000006</v>
      </c>
      <c r="F39" s="5">
        <f t="shared" ca="1" si="4"/>
        <v>2.2517675711217172E-3</v>
      </c>
      <c r="G39" s="5">
        <f t="shared" ca="1" si="5"/>
        <v>4.4658313919551879E-3</v>
      </c>
      <c r="H39" s="5">
        <f t="shared" ca="1" si="6"/>
        <v>8.9322873777055133E-3</v>
      </c>
      <c r="I39" s="5">
        <f t="shared" ca="1" si="7"/>
        <v>1.351746782361456E-2</v>
      </c>
      <c r="J39" s="5">
        <f t="shared" ca="1" si="8"/>
        <v>2.2820761700920279E-2</v>
      </c>
      <c r="K39" s="5">
        <f t="shared" si="9"/>
        <v>2.2499999999999999E-2</v>
      </c>
      <c r="M39" s="5">
        <f t="shared" ca="1" si="10"/>
        <v>0.30721363089437048</v>
      </c>
      <c r="N39" s="5">
        <f t="shared" ca="1" si="10"/>
        <v>1.9910716462835047</v>
      </c>
    </row>
    <row r="40" spans="5:14" x14ac:dyDescent="0.2">
      <c r="E40" s="5">
        <f t="shared" si="3"/>
        <v>1.5000000000000007</v>
      </c>
      <c r="F40" s="5">
        <f t="shared" ca="1" si="4"/>
        <v>4.536113043649502E-3</v>
      </c>
      <c r="G40" s="5">
        <f t="shared" ca="1" si="5"/>
        <v>6.8847951864223645E-3</v>
      </c>
      <c r="H40" s="5">
        <f t="shared" ca="1" si="6"/>
        <v>1.1620347385351271E-2</v>
      </c>
      <c r="I40" s="5">
        <f t="shared" ca="1" si="7"/>
        <v>1.644919236056026E-2</v>
      </c>
      <c r="J40" s="5">
        <f t="shared" ca="1" si="8"/>
        <v>2.6323700711527159E-2</v>
      </c>
      <c r="K40" s="5">
        <f t="shared" si="9"/>
        <v>2.2499999999999999E-2</v>
      </c>
      <c r="M40" s="5">
        <f t="shared" ca="1" si="10"/>
        <v>1.5779325732578888</v>
      </c>
      <c r="N40" s="5">
        <f t="shared" ca="1" si="10"/>
        <v>-0.6829733613462956</v>
      </c>
    </row>
    <row r="41" spans="5:14" x14ac:dyDescent="0.2">
      <c r="E41" s="5">
        <f t="shared" si="3"/>
        <v>1.5500000000000007</v>
      </c>
      <c r="F41" s="5">
        <f t="shared" ca="1" si="4"/>
        <v>4.2610034762216274E-3</v>
      </c>
      <c r="G41" s="5">
        <f t="shared" ca="1" si="5"/>
        <v>6.6499254691566381E-3</v>
      </c>
      <c r="H41" s="5">
        <f t="shared" ca="1" si="6"/>
        <v>1.1465188167147686E-2</v>
      </c>
      <c r="I41" s="5">
        <f t="shared" ca="1" si="7"/>
        <v>1.6348568281141253E-2</v>
      </c>
      <c r="J41" s="5">
        <f t="shared" ca="1" si="8"/>
        <v>2.6307946808457508E-2</v>
      </c>
      <c r="K41" s="5">
        <f t="shared" si="9"/>
        <v>2.2499999999999999E-2</v>
      </c>
      <c r="M41" s="5">
        <f t="shared" ca="1" si="10"/>
        <v>-0.1203950221414356</v>
      </c>
      <c r="N41" s="5">
        <f t="shared" ca="1" si="10"/>
        <v>-0.18643494207178612</v>
      </c>
    </row>
    <row r="42" spans="5:14" x14ac:dyDescent="0.2">
      <c r="E42" s="5">
        <f t="shared" si="3"/>
        <v>1.6000000000000008</v>
      </c>
      <c r="F42" s="5">
        <f t="shared" ca="1" si="4"/>
        <v>8.7758051071763106E-3</v>
      </c>
      <c r="G42" s="5">
        <f t="shared" ca="1" si="5"/>
        <v>1.109056494446674E-2</v>
      </c>
      <c r="H42" s="5">
        <f t="shared" ca="1" si="6"/>
        <v>1.575614320596264E-2</v>
      </c>
      <c r="I42" s="5">
        <f t="shared" ca="1" si="7"/>
        <v>2.0464778230484315E-2</v>
      </c>
      <c r="J42" s="5">
        <f t="shared" ca="1" si="8"/>
        <v>2.9936303738268236E-2</v>
      </c>
      <c r="K42" s="5">
        <f t="shared" si="9"/>
        <v>2.2499999999999999E-2</v>
      </c>
      <c r="M42" s="5">
        <f t="shared" ca="1" si="10"/>
        <v>2.236412423686188</v>
      </c>
      <c r="N42" s="5">
        <f t="shared" ca="1" si="10"/>
        <v>0.41537132166564295</v>
      </c>
    </row>
    <row r="43" spans="5:14" x14ac:dyDescent="0.2">
      <c r="E43" s="5">
        <f t="shared" si="3"/>
        <v>1.6500000000000008</v>
      </c>
      <c r="F43" s="5">
        <f t="shared" ca="1" si="4"/>
        <v>9.1671207162818472E-3</v>
      </c>
      <c r="G43" s="5">
        <f t="shared" ca="1" si="5"/>
        <v>1.1507183036275303E-2</v>
      </c>
      <c r="H43" s="5">
        <f t="shared" ca="1" si="6"/>
        <v>1.622144762790715E-2</v>
      </c>
      <c r="I43" s="5">
        <f t="shared" ca="1" si="7"/>
        <v>2.0953824942953923E-2</v>
      </c>
      <c r="J43" s="5">
        <f t="shared" ca="1" si="8"/>
        <v>3.0430798276465085E-2</v>
      </c>
      <c r="K43" s="5">
        <f t="shared" si="9"/>
        <v>2.2499999999999999E-2</v>
      </c>
      <c r="M43" s="5">
        <f t="shared" ca="1" si="10"/>
        <v>0.21149371418863971</v>
      </c>
      <c r="N43" s="5">
        <f t="shared" ca="1" si="10"/>
        <v>-0.10812450424763842</v>
      </c>
    </row>
    <row r="44" spans="5:14" x14ac:dyDescent="0.2">
      <c r="E44" s="5">
        <f t="shared" si="3"/>
        <v>1.7000000000000008</v>
      </c>
      <c r="F44" s="5">
        <f t="shared" ca="1" si="4"/>
        <v>1.1213966112498988E-2</v>
      </c>
      <c r="G44" s="5">
        <f t="shared" ca="1" si="5"/>
        <v>1.3809873701149189E-2</v>
      </c>
      <c r="H44" s="5">
        <f t="shared" ca="1" si="6"/>
        <v>1.9033382525597657E-2</v>
      </c>
      <c r="I44" s="5">
        <f t="shared" ca="1" si="7"/>
        <v>2.4250144555834616E-2</v>
      </c>
      <c r="J44" s="5">
        <f t="shared" ca="1" si="8"/>
        <v>3.4884228759647612E-2</v>
      </c>
      <c r="K44" s="5">
        <f t="shared" si="9"/>
        <v>2.2499999999999999E-2</v>
      </c>
      <c r="M44" s="5">
        <f t="shared" ca="1" si="10"/>
        <v>1.7807765190950464</v>
      </c>
      <c r="N44" s="5">
        <f t="shared" ca="1" si="10"/>
        <v>-1.3213400244521081</v>
      </c>
    </row>
    <row r="45" spans="5:14" x14ac:dyDescent="0.2">
      <c r="E45" s="5">
        <f t="shared" si="3"/>
        <v>1.7500000000000009</v>
      </c>
      <c r="F45" s="5">
        <f t="shared" ca="1" si="4"/>
        <v>1.1790740801774214E-2</v>
      </c>
      <c r="G45" s="5">
        <f t="shared" ca="1" si="5"/>
        <v>1.431998935949488E-2</v>
      </c>
      <c r="H45" s="5">
        <f t="shared" ca="1" si="6"/>
        <v>1.9407234644871589E-2</v>
      </c>
      <c r="I45" s="5">
        <f t="shared" ca="1" si="7"/>
        <v>2.446295659717428E-2</v>
      </c>
      <c r="J45" s="5">
        <f t="shared" ca="1" si="8"/>
        <v>3.4619231276508844E-2</v>
      </c>
      <c r="K45" s="5">
        <f t="shared" si="9"/>
        <v>2.2499999999999999E-2</v>
      </c>
      <c r="M45" s="5">
        <f t="shared" ca="1" si="10"/>
        <v>5.0574937911041395E-2</v>
      </c>
      <c r="N45" s="5">
        <f t="shared" ca="1" si="10"/>
        <v>0.37514182103533678</v>
      </c>
    </row>
    <row r="46" spans="5:14" x14ac:dyDescent="0.2">
      <c r="E46" s="5">
        <f t="shared" si="3"/>
        <v>1.8000000000000009</v>
      </c>
      <c r="F46" s="5">
        <f t="shared" ca="1" si="4"/>
        <v>1.1376990399092948E-2</v>
      </c>
      <c r="G46" s="5">
        <f t="shared" ca="1" si="5"/>
        <v>1.3757076431906566E-2</v>
      </c>
      <c r="H46" s="5">
        <f t="shared" ca="1" si="6"/>
        <v>1.8542579050645564E-2</v>
      </c>
      <c r="I46" s="5">
        <f t="shared" ca="1" si="7"/>
        <v>2.3271649117623163E-2</v>
      </c>
      <c r="J46" s="5">
        <f t="shared" ca="1" si="8"/>
        <v>3.254340557619595E-2</v>
      </c>
      <c r="K46" s="5">
        <f t="shared" si="9"/>
        <v>2.2499999999999999E-2</v>
      </c>
      <c r="M46" s="5">
        <f t="shared" ca="1" si="10"/>
        <v>-0.73168069995793772</v>
      </c>
      <c r="N46" s="5">
        <f t="shared" ca="1" si="10"/>
        <v>0.80883302981914973</v>
      </c>
    </row>
    <row r="47" spans="5:14" x14ac:dyDescent="0.2">
      <c r="E47" s="5">
        <f t="shared" si="3"/>
        <v>1.850000000000001</v>
      </c>
      <c r="F47" s="5">
        <f t="shared" ca="1" si="4"/>
        <v>1.0061841192112378E-2</v>
      </c>
      <c r="G47" s="5">
        <f t="shared" ca="1" si="5"/>
        <v>1.2404761756926775E-2</v>
      </c>
      <c r="H47" s="5">
        <f t="shared" ca="1" si="6"/>
        <v>1.7112063973217705E-2</v>
      </c>
      <c r="I47" s="5">
        <f t="shared" ca="1" si="7"/>
        <v>2.1737968264452553E-2</v>
      </c>
      <c r="J47" s="5">
        <f t="shared" ca="1" si="8"/>
        <v>3.0699653735364034E-2</v>
      </c>
      <c r="K47" s="5">
        <f t="shared" si="9"/>
        <v>2.2499999999999999E-2</v>
      </c>
      <c r="M47" s="5">
        <f t="shared" ca="1" si="10"/>
        <v>-0.91812862706031684</v>
      </c>
      <c r="N47" s="5">
        <f t="shared" ca="1" si="10"/>
        <v>0.21912930484438764</v>
      </c>
    </row>
    <row r="48" spans="5:14" x14ac:dyDescent="0.2">
      <c r="E48" s="5">
        <f t="shared" si="3"/>
        <v>1.900000000000001</v>
      </c>
      <c r="F48" s="5">
        <f t="shared" ca="1" si="4"/>
        <v>1.2053273812670342E-2</v>
      </c>
      <c r="G48" s="5">
        <f t="shared" ca="1" si="5"/>
        <v>1.4397615649918778E-2</v>
      </c>
      <c r="H48" s="5">
        <f t="shared" ca="1" si="6"/>
        <v>1.9103460283618281E-2</v>
      </c>
      <c r="I48" s="5">
        <f t="shared" ca="1" si="7"/>
        <v>2.3703044187816342E-2</v>
      </c>
      <c r="J48" s="5">
        <f t="shared" ca="1" si="8"/>
        <v>3.2555786146017736E-2</v>
      </c>
      <c r="K48" s="5">
        <f t="shared" si="9"/>
        <v>2.2499999999999999E-2</v>
      </c>
      <c r="M48" s="5">
        <f t="shared" ca="1" si="10"/>
        <v>1.0394692197225766</v>
      </c>
      <c r="N48" s="5">
        <f t="shared" ca="1" si="10"/>
        <v>1.5602518045876757E-2</v>
      </c>
    </row>
    <row r="49" spans="5:14" x14ac:dyDescent="0.2">
      <c r="E49" s="5">
        <f t="shared" si="3"/>
        <v>1.9500000000000011</v>
      </c>
      <c r="F49" s="5">
        <f t="shared" ca="1" si="4"/>
        <v>1.2414447987538942E-2</v>
      </c>
      <c r="G49" s="5">
        <f t="shared" ca="1" si="5"/>
        <v>1.4732189812359204E-2</v>
      </c>
      <c r="H49" s="5">
        <f t="shared" ca="1" si="6"/>
        <v>1.9380127730004693E-2</v>
      </c>
      <c r="I49" s="5">
        <f t="shared" ca="1" si="7"/>
        <v>2.3897132258363332E-2</v>
      </c>
      <c r="J49" s="5">
        <f t="shared" ca="1" si="8"/>
        <v>3.2497810899576464E-2</v>
      </c>
      <c r="K49" s="5">
        <f t="shared" si="9"/>
        <v>2.2499999999999999E-2</v>
      </c>
      <c r="M49" s="5">
        <f t="shared" ca="1" si="10"/>
        <v>5.0065925916706E-2</v>
      </c>
      <c r="N49" s="5">
        <f t="shared" ca="1" si="10"/>
        <v>0.16246631413061152</v>
      </c>
    </row>
    <row r="50" spans="5:14" x14ac:dyDescent="0.2">
      <c r="E50" s="5">
        <f t="shared" si="3"/>
        <v>2.0000000000000009</v>
      </c>
      <c r="F50" s="5">
        <f t="shared" ca="1" si="4"/>
        <v>1.1303972588924245E-2</v>
      </c>
      <c r="G50" s="5">
        <f t="shared" ca="1" si="5"/>
        <v>1.34621640437562E-2</v>
      </c>
      <c r="H50" s="5">
        <f t="shared" ca="1" si="6"/>
        <v>1.7785913048292662E-2</v>
      </c>
      <c r="I50" s="5">
        <f t="shared" ca="1" si="7"/>
        <v>2.1954216671477605E-2</v>
      </c>
      <c r="J50" s="5">
        <f t="shared" ca="1" si="8"/>
        <v>2.964133411558751E-2</v>
      </c>
      <c r="K50" s="5">
        <f t="shared" si="9"/>
        <v>2.2499999999999999E-2</v>
      </c>
      <c r="M50" s="5">
        <f t="shared" ca="1" si="10"/>
        <v>-1.1431463588510535</v>
      </c>
      <c r="N50" s="5">
        <f t="shared" ca="1" si="10"/>
        <v>0.86134378495574104</v>
      </c>
    </row>
    <row r="51" spans="5:14" x14ac:dyDescent="0.2">
      <c r="E51" s="5">
        <f t="shared" si="3"/>
        <v>2.0500000000000007</v>
      </c>
      <c r="F51" s="5">
        <f t="shared" ca="1" si="4"/>
        <v>1.0524051178527965E-2</v>
      </c>
      <c r="G51" s="5">
        <f t="shared" ca="1" si="5"/>
        <v>1.2711793077985941E-2</v>
      </c>
      <c r="H51" s="5">
        <f t="shared" ca="1" si="6"/>
        <v>1.708919640749703E-2</v>
      </c>
      <c r="I51" s="5">
        <f t="shared" ca="1" si="7"/>
        <v>2.1286837074051861E-2</v>
      </c>
      <c r="J51" s="5">
        <f t="shared" ca="1" si="8"/>
        <v>2.9022810219702735E-2</v>
      </c>
      <c r="K51" s="5">
        <f t="shared" si="9"/>
        <v>2.2499999999999999E-2</v>
      </c>
      <c r="M51" s="5">
        <f t="shared" ca="1" si="10"/>
        <v>-0.4249931014602355</v>
      </c>
      <c r="N51" s="5">
        <f t="shared" ca="1" si="10"/>
        <v>-0.13424848234626818</v>
      </c>
    </row>
    <row r="52" spans="5:14" x14ac:dyDescent="0.2">
      <c r="E52" s="5">
        <f t="shared" si="3"/>
        <v>2.1000000000000005</v>
      </c>
      <c r="F52" s="5">
        <f t="shared" ca="1" si="4"/>
        <v>9.7330565577187639E-3</v>
      </c>
      <c r="G52" s="5">
        <f t="shared" ca="1" si="5"/>
        <v>1.2143966364361771E-2</v>
      </c>
      <c r="H52" s="5">
        <f t="shared" ca="1" si="6"/>
        <v>1.6961923340139261E-2</v>
      </c>
      <c r="I52" s="5">
        <f t="shared" ca="1" si="7"/>
        <v>2.1576163434327032E-2</v>
      </c>
      <c r="J52" s="5">
        <f t="shared" ca="1" si="8"/>
        <v>3.0330818167572902E-2</v>
      </c>
      <c r="K52" s="5">
        <f t="shared" si="9"/>
        <v>2.2499999999999999E-2</v>
      </c>
      <c r="M52" s="5">
        <f t="shared" ca="1" si="10"/>
        <v>0.10954867583999928</v>
      </c>
      <c r="N52" s="5">
        <f t="shared" ca="1" si="10"/>
        <v>-1.1536514943749028</v>
      </c>
    </row>
    <row r="53" spans="5:14" x14ac:dyDescent="0.2">
      <c r="E53" s="5">
        <f t="shared" si="3"/>
        <v>2.1500000000000004</v>
      </c>
      <c r="F53" s="5">
        <f t="shared" ca="1" si="4"/>
        <v>1.0031102443837949E-2</v>
      </c>
      <c r="G53" s="5">
        <f t="shared" ca="1" si="5"/>
        <v>1.2448146316013904E-2</v>
      </c>
      <c r="H53" s="5">
        <f t="shared" ca="1" si="6"/>
        <v>1.7272279507692972E-2</v>
      </c>
      <c r="I53" s="5">
        <f t="shared" ca="1" si="7"/>
        <v>2.1869112284799829E-2</v>
      </c>
      <c r="J53" s="5">
        <f t="shared" ca="1" si="8"/>
        <v>3.0544545332647617E-2</v>
      </c>
      <c r="K53" s="5">
        <f t="shared" si="9"/>
        <v>2.2499999999999999E-2</v>
      </c>
      <c r="M53" s="5">
        <f t="shared" ca="1" si="10"/>
        <v>0.1058791062292066</v>
      </c>
      <c r="N53" s="5">
        <f t="shared" ca="1" si="10"/>
        <v>-1.2523987719481156E-2</v>
      </c>
    </row>
    <row r="54" spans="5:14" x14ac:dyDescent="0.2">
      <c r="E54" s="5">
        <f t="shared" si="3"/>
        <v>2.2000000000000002</v>
      </c>
      <c r="F54" s="5">
        <f t="shared" ca="1" si="4"/>
        <v>9.3291331709107993E-3</v>
      </c>
      <c r="G54" s="5">
        <f t="shared" ca="1" si="5"/>
        <v>1.1459508282193887E-2</v>
      </c>
      <c r="H54" s="5">
        <f t="shared" ca="1" si="6"/>
        <v>1.5703927044356556E-2</v>
      </c>
      <c r="I54" s="5">
        <f t="shared" ca="1" si="7"/>
        <v>1.9697694413362124E-2</v>
      </c>
      <c r="J54" s="5">
        <f t="shared" ca="1" si="8"/>
        <v>2.6830911032019584E-2</v>
      </c>
      <c r="K54" s="5">
        <f t="shared" si="9"/>
        <v>2.2499999999999999E-2</v>
      </c>
      <c r="M54" s="5">
        <f t="shared" ca="1" si="10"/>
        <v>-1.2713009090062402</v>
      </c>
      <c r="N54" s="5">
        <f t="shared" ca="1" si="10"/>
        <v>1.5272088957668295</v>
      </c>
    </row>
    <row r="55" spans="5:14" x14ac:dyDescent="0.2">
      <c r="E55" s="5">
        <f t="shared" si="3"/>
        <v>2.25</v>
      </c>
      <c r="F55" s="5">
        <f t="shared" ca="1" si="4"/>
        <v>6.4881249772322375E-3</v>
      </c>
      <c r="G55" s="5">
        <f t="shared" ca="1" si="5"/>
        <v>8.7779448579516275E-3</v>
      </c>
      <c r="H55" s="5">
        <f t="shared" ca="1" si="6"/>
        <v>1.3334611322178157E-2</v>
      </c>
      <c r="I55" s="5">
        <f t="shared" ca="1" si="7"/>
        <v>1.7617513660037942E-2</v>
      </c>
      <c r="J55" s="5">
        <f t="shared" ca="1" si="8"/>
        <v>2.5464584864660741E-2</v>
      </c>
      <c r="K55" s="5">
        <f t="shared" si="9"/>
        <v>2.2499999999999999E-2</v>
      </c>
      <c r="M55" s="5">
        <f t="shared" ca="1" si="10"/>
        <v>-1.2116765575337691</v>
      </c>
      <c r="N55" s="5">
        <f t="shared" ca="1" si="10"/>
        <v>-0.82078324418080495</v>
      </c>
    </row>
    <row r="56" spans="5:14" x14ac:dyDescent="0.2">
      <c r="E56" s="5">
        <f t="shared" si="3"/>
        <v>2.2999999999999998</v>
      </c>
      <c r="F56" s="5">
        <f t="shared" ca="1" si="4"/>
        <v>9.4187694782480354E-3</v>
      </c>
      <c r="G56" s="5">
        <f t="shared" ca="1" si="5"/>
        <v>1.2072989685861858E-2</v>
      </c>
      <c r="H56" s="5">
        <f t="shared" ca="1" si="6"/>
        <v>1.7351569240578697E-2</v>
      </c>
      <c r="I56" s="5">
        <f t="shared" ca="1" si="7"/>
        <v>2.2333759925687691E-2</v>
      </c>
      <c r="J56" s="5">
        <f t="shared" ca="1" si="8"/>
        <v>3.1916571002726303E-2</v>
      </c>
      <c r="K56" s="5">
        <f t="shared" si="9"/>
        <v>2.2499999999999999E-2</v>
      </c>
      <c r="M56" s="5">
        <f t="shared" ca="1" si="10"/>
        <v>2.5836510786510498</v>
      </c>
      <c r="N56" s="5">
        <f t="shared" ca="1" si="10"/>
        <v>-1.8999970060813522</v>
      </c>
    </row>
    <row r="57" spans="5:14" x14ac:dyDescent="0.2">
      <c r="E57" s="5">
        <f t="shared" si="3"/>
        <v>2.3499999999999996</v>
      </c>
      <c r="F57" s="5">
        <f t="shared" ca="1" si="4"/>
        <v>8.2287337221437773E-3</v>
      </c>
      <c r="G57" s="5">
        <f t="shared" ca="1" si="5"/>
        <v>1.1114724065448431E-2</v>
      </c>
      <c r="H57" s="5">
        <f t="shared" ca="1" si="6"/>
        <v>1.6849735087832281E-2</v>
      </c>
      <c r="I57" s="5">
        <f t="shared" ca="1" si="7"/>
        <v>2.2266173305991139E-2</v>
      </c>
      <c r="J57" s="5">
        <f t="shared" ca="1" si="8"/>
        <v>3.2888946880770563E-2</v>
      </c>
      <c r="K57" s="5">
        <f t="shared" si="9"/>
        <v>2.2499999999999999E-2</v>
      </c>
      <c r="M57" s="5">
        <f t="shared" ca="1" si="10"/>
        <v>-0.10029588337221718</v>
      </c>
      <c r="N57" s="5">
        <f t="shared" ca="1" si="10"/>
        <v>-1.2030908957127151</v>
      </c>
    </row>
    <row r="58" spans="5:14" x14ac:dyDescent="0.2">
      <c r="E58" s="5">
        <f t="shared" si="3"/>
        <v>2.3999999999999995</v>
      </c>
      <c r="F58" s="5">
        <f t="shared" ca="1" si="4"/>
        <v>1.0442150202297022E-2</v>
      </c>
      <c r="G58" s="5">
        <f t="shared" ca="1" si="5"/>
        <v>1.3076595749888863E-2</v>
      </c>
      <c r="H58" s="5">
        <f t="shared" ca="1" si="6"/>
        <v>1.830120921895274E-2</v>
      </c>
      <c r="I58" s="5">
        <f t="shared" ca="1" si="7"/>
        <v>2.3185163984191067E-2</v>
      </c>
      <c r="J58" s="5">
        <f t="shared" ca="1" si="8"/>
        <v>3.2419383435484894E-2</v>
      </c>
      <c r="K58" s="5">
        <f t="shared" si="9"/>
        <v>2.2499999999999999E-2</v>
      </c>
      <c r="M58" s="5">
        <f t="shared" ca="1" si="10"/>
        <v>0.44540402531893175</v>
      </c>
      <c r="N58" s="5">
        <f t="shared" ca="1" si="10"/>
        <v>1.3388565088768871</v>
      </c>
    </row>
    <row r="59" spans="5:14" x14ac:dyDescent="0.2">
      <c r="E59" s="5">
        <f t="shared" si="3"/>
        <v>2.4499999999999993</v>
      </c>
      <c r="F59" s="5">
        <f t="shared" ca="1" si="4"/>
        <v>1.0669055790911654E-2</v>
      </c>
      <c r="G59" s="5">
        <f t="shared" ca="1" si="5"/>
        <v>1.3457739057992302E-2</v>
      </c>
      <c r="H59" s="5">
        <f t="shared" ca="1" si="6"/>
        <v>1.8983333254744147E-2</v>
      </c>
      <c r="I59" s="5">
        <f t="shared" ca="1" si="7"/>
        <v>2.4146161540648057E-2</v>
      </c>
      <c r="J59" s="5">
        <f t="shared" ca="1" si="8"/>
        <v>3.4036712389549244E-2</v>
      </c>
      <c r="K59" s="5">
        <f t="shared" si="9"/>
        <v>2.2499999999999999E-2</v>
      </c>
      <c r="M59" s="5">
        <f t="shared" ca="1" si="10"/>
        <v>0.47664883767164667</v>
      </c>
      <c r="N59" s="5">
        <f t="shared" ca="1" si="10"/>
        <v>-0.79706305714895009</v>
      </c>
    </row>
    <row r="60" spans="5:14" x14ac:dyDescent="0.2">
      <c r="E60" s="5">
        <f t="shared" si="3"/>
        <v>2.4999999999999991</v>
      </c>
      <c r="F60" s="5">
        <f t="shared" ca="1" si="4"/>
        <v>1.079720589701247E-2</v>
      </c>
      <c r="G60" s="5">
        <f t="shared" ca="1" si="5"/>
        <v>1.3739634174470329E-2</v>
      </c>
      <c r="H60" s="5">
        <f t="shared" ca="1" si="6"/>
        <v>1.956504573607588E-2</v>
      </c>
      <c r="I60" s="5">
        <f t="shared" ca="1" si="7"/>
        <v>2.5005728335946099E-2</v>
      </c>
      <c r="J60" s="5">
        <f t="shared" ca="1" si="8"/>
        <v>3.5540477239446658E-2</v>
      </c>
      <c r="K60" s="5">
        <f t="shared" si="9"/>
        <v>2.2499999999999999E-2</v>
      </c>
      <c r="M60" s="5">
        <f t="shared" ca="1" si="10"/>
        <v>0.41627831437936624</v>
      </c>
      <c r="N60" s="5">
        <f t="shared" ca="1" si="10"/>
        <v>-0.7954565536930156</v>
      </c>
    </row>
    <row r="61" spans="5:14" x14ac:dyDescent="0.2">
      <c r="E61" s="5">
        <f t="shared" si="3"/>
        <v>2.5499999999999989</v>
      </c>
      <c r="F61" s="5">
        <f t="shared" ca="1" si="4"/>
        <v>9.5884629751970558E-3</v>
      </c>
      <c r="G61" s="5">
        <f t="shared" ca="1" si="5"/>
        <v>1.2603503867617327E-2</v>
      </c>
      <c r="H61" s="5">
        <f t="shared" ca="1" si="6"/>
        <v>1.8566302559769834E-2</v>
      </c>
      <c r="I61" s="5">
        <f t="shared" ca="1" si="7"/>
        <v>2.4122453938268631E-2</v>
      </c>
      <c r="J61" s="5">
        <f t="shared" ca="1" si="8"/>
        <v>3.4886496608611407E-2</v>
      </c>
      <c r="K61" s="5">
        <f t="shared" si="9"/>
        <v>2.2499999999999999E-2</v>
      </c>
      <c r="M61" s="5">
        <f t="shared" ca="1" si="10"/>
        <v>-0.5616007075932945</v>
      </c>
      <c r="N61" s="5">
        <f t="shared" ca="1" si="10"/>
        <v>-0.3696009376439866</v>
      </c>
    </row>
    <row r="62" spans="5:14" x14ac:dyDescent="0.2">
      <c r="E62" s="5">
        <f t="shared" si="3"/>
        <v>2.5999999999999988</v>
      </c>
      <c r="F62" s="5">
        <f t="shared" ca="1" si="4"/>
        <v>8.0565630891641475E-3</v>
      </c>
      <c r="G62" s="5">
        <f t="shared" ca="1" si="5"/>
        <v>1.1058659271268534E-2</v>
      </c>
      <c r="H62" s="5">
        <f t="shared" ca="1" si="6"/>
        <v>1.6987574389582333E-2</v>
      </c>
      <c r="I62" s="5">
        <f t="shared" ca="1" si="7"/>
        <v>2.2487878019324722E-2</v>
      </c>
      <c r="J62" s="5">
        <f t="shared" ca="1" si="8"/>
        <v>3.3053749606449127E-2</v>
      </c>
      <c r="K62" s="5">
        <f t="shared" si="9"/>
        <v>2.2499999999999999E-2</v>
      </c>
      <c r="M62" s="5">
        <f t="shared" ca="1" si="10"/>
        <v>-0.98287281700467766</v>
      </c>
      <c r="N62" s="5">
        <f t="shared" ca="1" si="10"/>
        <v>7.9513961696601854E-2</v>
      </c>
    </row>
    <row r="63" spans="5:14" x14ac:dyDescent="0.2">
      <c r="E63" s="5">
        <f t="shared" si="3"/>
        <v>2.6499999999999986</v>
      </c>
      <c r="F63" s="5">
        <f t="shared" ca="1" si="4"/>
        <v>6.7229915649445497E-3</v>
      </c>
      <c r="G63" s="5">
        <f t="shared" ca="1" si="5"/>
        <v>9.6569048121803117E-3</v>
      </c>
      <c r="H63" s="5">
        <f t="shared" ca="1" si="6"/>
        <v>1.5441310510837329E-2</v>
      </c>
      <c r="I63" s="5">
        <f t="shared" ca="1" si="7"/>
        <v>2.0775104133264898E-2</v>
      </c>
      <c r="J63" s="5">
        <f t="shared" ca="1" si="8"/>
        <v>3.0874176361895676E-2</v>
      </c>
      <c r="K63" s="5">
        <f t="shared" si="9"/>
        <v>2.2499999999999999E-2</v>
      </c>
      <c r="M63" s="5">
        <f t="shared" ca="1" si="10"/>
        <v>-1.0254789995149203</v>
      </c>
      <c r="N63" s="5">
        <f t="shared" ca="1" si="10"/>
        <v>0.36908934594717824</v>
      </c>
    </row>
    <row r="64" spans="5:14" x14ac:dyDescent="0.2">
      <c r="E64" s="5">
        <f t="shared" si="3"/>
        <v>2.6999999999999984</v>
      </c>
      <c r="F64" s="5">
        <f t="shared" ca="1" si="4"/>
        <v>3.4402683457715657E-3</v>
      </c>
      <c r="G64" s="5">
        <f t="shared" ca="1" si="5"/>
        <v>6.3531218291331447E-3</v>
      </c>
      <c r="H64" s="5">
        <f t="shared" ca="1" si="6"/>
        <v>1.2087121612926783E-2</v>
      </c>
      <c r="I64" s="5">
        <f t="shared" ca="1" si="7"/>
        <v>1.734855350412233E-2</v>
      </c>
      <c r="J64" s="5">
        <f t="shared" ca="1" si="8"/>
        <v>2.7227577099667957E-2</v>
      </c>
      <c r="K64" s="5">
        <f t="shared" si="9"/>
        <v>2.2499999999999999E-2</v>
      </c>
      <c r="M64" s="5">
        <f t="shared" ca="1" si="10"/>
        <v>-1.9808998357191099</v>
      </c>
      <c r="N64" s="5">
        <f t="shared" ca="1" si="10"/>
        <v>0.12008734138512533</v>
      </c>
    </row>
    <row r="65" spans="5:14" x14ac:dyDescent="0.2">
      <c r="E65" s="5">
        <f t="shared" si="3"/>
        <v>2.7499999999999982</v>
      </c>
      <c r="F65" s="5">
        <f t="shared" ca="1" si="4"/>
        <v>3.6525950274003847E-3</v>
      </c>
      <c r="G65" s="5">
        <f t="shared" ca="1" si="5"/>
        <v>6.4643041160316233E-3</v>
      </c>
      <c r="H65" s="5">
        <f t="shared" ca="1" si="6"/>
        <v>1.1987594147196105E-2</v>
      </c>
      <c r="I65" s="5">
        <f t="shared" ca="1" si="7"/>
        <v>1.7016517921753016E-2</v>
      </c>
      <c r="J65" s="5">
        <f t="shared" ca="1" si="8"/>
        <v>2.6287422512808505E-2</v>
      </c>
      <c r="K65" s="5">
        <f t="shared" si="9"/>
        <v>2.2499999999999999E-2</v>
      </c>
      <c r="M65" s="5">
        <f t="shared" ca="1" si="10"/>
        <v>-0.24978322596903979</v>
      </c>
      <c r="N65" s="5">
        <f t="shared" ca="1" si="10"/>
        <v>0.54034958944493017</v>
      </c>
    </row>
    <row r="66" spans="5:14" x14ac:dyDescent="0.2">
      <c r="E66" s="5">
        <f t="shared" si="3"/>
        <v>2.799999999999998</v>
      </c>
      <c r="F66" s="5">
        <f t="shared" ca="1" si="4"/>
        <v>3.9005024283893541E-3</v>
      </c>
      <c r="G66" s="5">
        <f t="shared" ca="1" si="5"/>
        <v>6.6352839301610025E-3</v>
      </c>
      <c r="H66" s="5">
        <f t="shared" ca="1" si="6"/>
        <v>1.1996173913496014E-2</v>
      </c>
      <c r="I66" s="5">
        <f t="shared" ca="1" si="7"/>
        <v>1.6841175748185274E-2</v>
      </c>
      <c r="J66" s="5">
        <f t="shared" ca="1" si="8"/>
        <v>2.5634529571012483E-2</v>
      </c>
      <c r="K66" s="5">
        <f t="shared" si="9"/>
        <v>2.2499999999999999E-2</v>
      </c>
      <c r="M66" s="5">
        <f t="shared" ca="1" si="10"/>
        <v>-0.15878945896129526</v>
      </c>
      <c r="N66" s="5">
        <f t="shared" ca="1" si="10"/>
        <v>0.41182917827065602</v>
      </c>
    </row>
    <row r="67" spans="5:14" x14ac:dyDescent="0.2">
      <c r="E67" s="5">
        <f t="shared" si="3"/>
        <v>2.8499999999999979</v>
      </c>
      <c r="F67" s="5">
        <f t="shared" ca="1" si="4"/>
        <v>5.1123406741125322E-3</v>
      </c>
      <c r="G67" s="5">
        <f t="shared" ca="1" si="5"/>
        <v>7.6647359232368505E-3</v>
      </c>
      <c r="H67" s="5">
        <f t="shared" ca="1" si="6"/>
        <v>1.2652197723571469E-2</v>
      </c>
      <c r="I67" s="5">
        <f t="shared" ca="1" si="7"/>
        <v>1.7102610071337523E-2</v>
      </c>
      <c r="J67" s="5">
        <f t="shared" ca="1" si="8"/>
        <v>2.4898595646298313E-2</v>
      </c>
      <c r="K67" s="5">
        <f t="shared" si="9"/>
        <v>2.2499999999999999E-2</v>
      </c>
      <c r="M67" s="5">
        <f t="shared" ca="1" si="10"/>
        <v>8.8045615399896526E-2</v>
      </c>
      <c r="N67" s="5">
        <f t="shared" ca="1" si="10"/>
        <v>0.96555876070259572</v>
      </c>
    </row>
    <row r="68" spans="5:14" x14ac:dyDescent="0.2">
      <c r="E68" s="5">
        <f t="shared" si="3"/>
        <v>2.8999999999999977</v>
      </c>
      <c r="F68" s="5">
        <f t="shared" ca="1" si="4"/>
        <v>6.8899228281227125E-3</v>
      </c>
      <c r="G68" s="5">
        <f t="shared" ca="1" si="5"/>
        <v>9.2835643925744619E-3</v>
      </c>
      <c r="H68" s="5">
        <f t="shared" ca="1" si="6"/>
        <v>1.3944766897145425E-2</v>
      </c>
      <c r="I68" s="5">
        <f t="shared" ca="1" si="7"/>
        <v>1.8048178732517496E-2</v>
      </c>
      <c r="J68" s="5">
        <f t="shared" ca="1" si="8"/>
        <v>2.4977854376489333E-2</v>
      </c>
      <c r="K68" s="5">
        <f t="shared" si="9"/>
        <v>2.2499999999999999E-2</v>
      </c>
      <c r="M68" s="5">
        <f t="shared" ca="1" si="10"/>
        <v>0.47606379479492222</v>
      </c>
      <c r="N68" s="5">
        <f t="shared" ca="1" si="10"/>
        <v>0.8400813593661649</v>
      </c>
    </row>
    <row r="69" spans="5:14" x14ac:dyDescent="0.2">
      <c r="E69" s="5">
        <f t="shared" si="3"/>
        <v>2.9499999999999975</v>
      </c>
      <c r="F69" s="5">
        <f t="shared" ca="1" si="4"/>
        <v>9.1237530330514384E-3</v>
      </c>
      <c r="G69" s="5">
        <f t="shared" ca="1" si="5"/>
        <v>1.13327507643984E-2</v>
      </c>
      <c r="H69" s="5">
        <f t="shared" ca="1" si="6"/>
        <v>1.5615832742246443E-2</v>
      </c>
      <c r="I69" s="5">
        <f t="shared" ca="1" si="7"/>
        <v>1.9320913278180984E-2</v>
      </c>
      <c r="J69" s="5">
        <f t="shared" ca="1" si="8"/>
        <v>2.526438719228951E-2</v>
      </c>
      <c r="K69" s="5">
        <f t="shared" si="9"/>
        <v>2.2499999999999999E-2</v>
      </c>
      <c r="M69" s="5">
        <f t="shared" ca="1" si="10"/>
        <v>0.66379790393910376</v>
      </c>
      <c r="N69" s="5">
        <f t="shared" ca="1" si="10"/>
        <v>0.97514696944110479</v>
      </c>
    </row>
    <row r="70" spans="5:14" x14ac:dyDescent="0.2">
      <c r="E70" s="5">
        <f t="shared" si="3"/>
        <v>2.9999999999999973</v>
      </c>
      <c r="F70" s="5">
        <f t="shared" ca="1" si="4"/>
        <v>8.5013976061701375E-3</v>
      </c>
      <c r="G70" s="5">
        <f t="shared" ca="1" si="5"/>
        <v>1.1095416139133535E-2</v>
      </c>
      <c r="H70" s="5">
        <f t="shared" ca="1" si="6"/>
        <v>1.6139643233408916E-2</v>
      </c>
      <c r="I70" s="5">
        <f t="shared" ca="1" si="7"/>
        <v>2.0586259647561351E-2</v>
      </c>
      <c r="J70" s="5">
        <f t="shared" ca="1" si="8"/>
        <v>2.8402104798236003E-2</v>
      </c>
      <c r="K70" s="5">
        <f t="shared" si="9"/>
        <v>2.2499999999999999E-2</v>
      </c>
      <c r="M70" s="5">
        <f t="shared" ca="1" si="10"/>
        <v>0.66518082310815707</v>
      </c>
      <c r="N70" s="5">
        <f t="shared" ca="1" si="10"/>
        <v>-2.023212135330283</v>
      </c>
    </row>
    <row r="71" spans="5:14" x14ac:dyDescent="0.2">
      <c r="E71" s="5">
        <f t="shared" si="3"/>
        <v>3.0499999999999972</v>
      </c>
      <c r="F71" s="5">
        <f t="shared" ca="1" si="4"/>
        <v>8.6844977375092024E-3</v>
      </c>
      <c r="G71" s="5">
        <f t="shared" ca="1" si="5"/>
        <v>1.1297641309884712E-2</v>
      </c>
      <c r="H71" s="5">
        <f t="shared" ca="1" si="6"/>
        <v>1.6371176589563823E-2</v>
      </c>
      <c r="I71" s="5">
        <f t="shared" ca="1" si="7"/>
        <v>2.0828167497275993E-2</v>
      </c>
      <c r="J71" s="5">
        <f t="shared" ca="1" si="8"/>
        <v>2.8661449127965314E-2</v>
      </c>
      <c r="K71" s="5">
        <f t="shared" si="9"/>
        <v>2.2499999999999999E-2</v>
      </c>
      <c r="M71" s="5">
        <f t="shared" ca="1" si="10"/>
        <v>8.2594424506885922E-2</v>
      </c>
      <c r="N71" s="5">
        <f t="shared" ca="1" si="10"/>
        <v>-9.9281621832601807E-2</v>
      </c>
    </row>
    <row r="72" spans="5:14" x14ac:dyDescent="0.2">
      <c r="E72" s="5">
        <f t="shared" si="3"/>
        <v>3.099999999999997</v>
      </c>
      <c r="F72" s="5">
        <f t="shared" ca="1" si="4"/>
        <v>9.0375425523348037E-3</v>
      </c>
      <c r="G72" s="5">
        <f t="shared" ca="1" si="5"/>
        <v>1.1480013963840394E-2</v>
      </c>
      <c r="H72" s="5">
        <f t="shared" ca="1" si="6"/>
        <v>1.6203236780734095E-2</v>
      </c>
      <c r="I72" s="5">
        <f t="shared" ca="1" si="7"/>
        <v>2.0291369878574109E-2</v>
      </c>
      <c r="J72" s="5">
        <f t="shared" ca="1" si="8"/>
        <v>2.7193396998921024E-2</v>
      </c>
      <c r="K72" s="5">
        <f t="shared" si="9"/>
        <v>2.2499999999999999E-2</v>
      </c>
      <c r="M72" s="5">
        <f t="shared" ca="1" si="10"/>
        <v>-0.3528126388371593</v>
      </c>
      <c r="N72" s="5">
        <f t="shared" ca="1" si="10"/>
        <v>0.89812914224121965</v>
      </c>
    </row>
    <row r="73" spans="5:14" x14ac:dyDescent="0.2">
      <c r="E73" s="5">
        <f t="shared" si="3"/>
        <v>3.1499999999999968</v>
      </c>
      <c r="F73" s="5">
        <f t="shared" ca="1" si="4"/>
        <v>1.2658303758095145E-2</v>
      </c>
      <c r="G73" s="5">
        <f t="shared" ca="1" si="5"/>
        <v>1.5018206376827709E-2</v>
      </c>
      <c r="H73" s="5">
        <f t="shared" ca="1" si="6"/>
        <v>1.9567308240504889E-2</v>
      </c>
      <c r="I73" s="5">
        <f t="shared" ca="1" si="7"/>
        <v>2.346314757186219E-2</v>
      </c>
      <c r="J73" s="5">
        <f t="shared" ca="1" si="8"/>
        <v>2.9888540715407884E-2</v>
      </c>
      <c r="K73" s="5">
        <f t="shared" si="9"/>
        <v>2.2499999999999999E-2</v>
      </c>
      <c r="M73" s="5">
        <f t="shared" ca="1" si="10"/>
        <v>1.7255498564583007</v>
      </c>
      <c r="N73" s="5">
        <f t="shared" ca="1" si="10"/>
        <v>0.43340807297868622</v>
      </c>
    </row>
    <row r="74" spans="5:14" x14ac:dyDescent="0.2">
      <c r="E74" s="5">
        <f t="shared" si="3"/>
        <v>3.1999999999999966</v>
      </c>
      <c r="F74" s="5">
        <f t="shared" ca="1" si="4"/>
        <v>1.5215380189595878E-2</v>
      </c>
      <c r="G74" s="5">
        <f t="shared" ca="1" si="5"/>
        <v>1.7614698435676705E-2</v>
      </c>
      <c r="H74" s="5">
        <f t="shared" ca="1" si="6"/>
        <v>2.2233643034431809E-2</v>
      </c>
      <c r="I74" s="5">
        <f t="shared" ca="1" si="7"/>
        <v>2.6181647612326553E-2</v>
      </c>
      <c r="J74" s="5">
        <f t="shared" ca="1" si="8"/>
        <v>3.2739480281113079E-2</v>
      </c>
      <c r="K74" s="5">
        <f t="shared" si="9"/>
        <v>2.2499999999999999E-2</v>
      </c>
      <c r="M74" s="5">
        <f t="shared" ca="1" si="10"/>
        <v>1.4748244102907409</v>
      </c>
      <c r="N74" s="5">
        <f t="shared" ca="1" si="10"/>
        <v>-0.20957461197789584</v>
      </c>
    </row>
    <row r="75" spans="5:14" x14ac:dyDescent="0.2">
      <c r="E75" s="5">
        <f t="shared" si="3"/>
        <v>3.2499999999999964</v>
      </c>
      <c r="F75" s="5">
        <f t="shared" ca="1" si="4"/>
        <v>1.4663065157923443E-2</v>
      </c>
      <c r="G75" s="5">
        <f t="shared" ca="1" si="5"/>
        <v>1.7103418665280777E-2</v>
      </c>
      <c r="H75" s="5">
        <f t="shared" ca="1" si="6"/>
        <v>2.1795452755737712E-2</v>
      </c>
      <c r="I75" s="5">
        <f t="shared" ca="1" si="7"/>
        <v>2.5799331538096288E-2</v>
      </c>
      <c r="J75" s="5">
        <f t="shared" ca="1" si="8"/>
        <v>3.2490373722550508E-2</v>
      </c>
      <c r="K75" s="5">
        <f t="shared" si="9"/>
        <v>2.2499999999999999E-2</v>
      </c>
      <c r="M75" s="5">
        <f t="shared" ca="1" si="10"/>
        <v>-0.25932485370861968</v>
      </c>
      <c r="N75" s="5">
        <f t="shared" ca="1" si="10"/>
        <v>-0.2192783415880708</v>
      </c>
    </row>
    <row r="76" spans="5:14" x14ac:dyDescent="0.2">
      <c r="E76" s="5">
        <f t="shared" ref="E76:E139" si="11">E75+$C$9</f>
        <v>3.2999999999999963</v>
      </c>
      <c r="F76" s="5">
        <f t="shared" ref="F76:F139" ca="1" si="12">F75+F$4*$C$9+SQRT($C$9)*F$5*$M76+SQRT($C$9)*F$6*$N76+(G75-F75)/(G$9-F$9)*$C$9</f>
        <v>1.358907205954818E-2</v>
      </c>
      <c r="G76" s="5">
        <f t="shared" ref="G76:G139" ca="1" si="13">G75+G$4*$C$9+SQRT($C$9)*G$5*$M76+SQRT($C$9)*G$6*$N76+(H75-G75)/(H$9-G$9)*$C$9</f>
        <v>1.6264750393936149E-2</v>
      </c>
      <c r="H76" s="5">
        <f t="shared" ref="H76:H139" ca="1" si="14">H75+H$4*$C$9+SQRT($C$9)*H$5*$M76+SQRT($C$9)*H$6*$N76+(I75-H75)/(I$9-H$9)*$C$9</f>
        <v>2.1418471776964789E-2</v>
      </c>
      <c r="I76" s="5">
        <f t="shared" ref="I76:I139" ca="1" si="15">I75+I$4*$C$9+SQRT($C$9)*I$5*$M76+SQRT($C$9)*I$6*$N76+(J75-I75)/(J$9-I$9)*$C$9</f>
        <v>2.5867188186883099E-2</v>
      </c>
      <c r="J76" s="5">
        <f t="shared" ref="J76:J139" ca="1" si="16">J75+J$4*$C$9+SQRT($C$9)*J$5*$M76+SQRT($C$9)*J$6*$N76+(K75-J75)/(K$9-J$9)*$C$9</f>
        <v>3.3663301015871797E-2</v>
      </c>
      <c r="K76" s="5">
        <f t="shared" ref="K76:K139" si="17">K75</f>
        <v>2.2499999999999999E-2</v>
      </c>
      <c r="M76" s="5">
        <f t="shared" ref="M76:N139" ca="1" si="18">RAND()+RAND()+RAND()+RAND()+RAND()+RAND()+RAND()+RAND()+RAND()+RAND()+RAND()+RAND()-6</f>
        <v>-8.4153149687340445E-3</v>
      </c>
      <c r="N76" s="5">
        <f t="shared" ca="1" si="18"/>
        <v>-1.2426824150761515</v>
      </c>
    </row>
    <row r="77" spans="5:14" x14ac:dyDescent="0.2">
      <c r="E77" s="5">
        <f t="shared" si="11"/>
        <v>3.3499999999999961</v>
      </c>
      <c r="F77" s="5">
        <f t="shared" ca="1" si="12"/>
        <v>1.2424418363105094E-2</v>
      </c>
      <c r="G77" s="5">
        <f t="shared" ca="1" si="13"/>
        <v>1.5214261458948511E-2</v>
      </c>
      <c r="H77" s="5">
        <f t="shared" ca="1" si="14"/>
        <v>2.0587376879847654E-2</v>
      </c>
      <c r="I77" s="5">
        <f t="shared" ca="1" si="15"/>
        <v>2.5238988670006152E-2</v>
      </c>
      <c r="J77" s="5">
        <f t="shared" ca="1" si="16"/>
        <v>3.3521509086160931E-2</v>
      </c>
      <c r="K77" s="5">
        <f t="shared" si="17"/>
        <v>2.2499999999999999E-2</v>
      </c>
      <c r="M77" s="5">
        <f t="shared" ca="1" si="18"/>
        <v>-0.40370007331703572</v>
      </c>
      <c r="N77" s="5">
        <f t="shared" ca="1" si="18"/>
        <v>-0.60639739967329298</v>
      </c>
    </row>
    <row r="78" spans="5:14" x14ac:dyDescent="0.2">
      <c r="E78" s="5">
        <f t="shared" si="11"/>
        <v>3.3999999999999959</v>
      </c>
      <c r="F78" s="5">
        <f t="shared" ca="1" si="12"/>
        <v>1.482373221475748E-2</v>
      </c>
      <c r="G78" s="5">
        <f t="shared" ca="1" si="13"/>
        <v>1.7622216693053971E-2</v>
      </c>
      <c r="H78" s="5">
        <f t="shared" ca="1" si="14"/>
        <v>2.3003713701630138E-2</v>
      </c>
      <c r="I78" s="5">
        <f t="shared" ca="1" si="15"/>
        <v>2.7647412579641754E-2</v>
      </c>
      <c r="J78" s="5">
        <f t="shared" ca="1" si="16"/>
        <v>3.5885331027533419E-2</v>
      </c>
      <c r="K78" s="5">
        <f t="shared" si="17"/>
        <v>2.2499999999999999E-2</v>
      </c>
      <c r="M78" s="5">
        <f t="shared" ca="1" si="18"/>
        <v>1.2911049265463763</v>
      </c>
      <c r="N78" s="5">
        <f t="shared" ca="1" si="18"/>
        <v>-5.2378717636302419E-2</v>
      </c>
    </row>
    <row r="79" spans="5:14" x14ac:dyDescent="0.2">
      <c r="E79" s="5">
        <f t="shared" si="11"/>
        <v>3.4499999999999957</v>
      </c>
      <c r="F79" s="5">
        <f t="shared" ca="1" si="12"/>
        <v>1.3130892398568806E-2</v>
      </c>
      <c r="G79" s="5">
        <f t="shared" ca="1" si="13"/>
        <v>1.5920509112957358E-2</v>
      </c>
      <c r="H79" s="5">
        <f t="shared" ca="1" si="14"/>
        <v>2.1275407112854385E-2</v>
      </c>
      <c r="I79" s="5">
        <f t="shared" ca="1" si="15"/>
        <v>2.5876371647979592E-2</v>
      </c>
      <c r="J79" s="5">
        <f t="shared" ca="1" si="16"/>
        <v>3.3977791507785925E-2</v>
      </c>
      <c r="K79" s="5">
        <f t="shared" si="17"/>
        <v>2.2499999999999999E-2</v>
      </c>
      <c r="M79" s="5">
        <f t="shared" ca="1" si="18"/>
        <v>-1.0450376145492504</v>
      </c>
      <c r="N79" s="5">
        <f t="shared" ca="1" si="18"/>
        <v>3.8571989556908548E-2</v>
      </c>
    </row>
    <row r="80" spans="5:14" x14ac:dyDescent="0.2">
      <c r="E80" s="5">
        <f t="shared" si="11"/>
        <v>3.4999999999999956</v>
      </c>
      <c r="F80" s="5">
        <f t="shared" ca="1" si="12"/>
        <v>1.2240624505537943E-2</v>
      </c>
      <c r="G80" s="5">
        <f t="shared" ca="1" si="13"/>
        <v>1.498036030925814E-2</v>
      </c>
      <c r="H80" s="5">
        <f t="shared" ca="1" si="14"/>
        <v>2.0226672797643171E-2</v>
      </c>
      <c r="I80" s="5">
        <f t="shared" ca="1" si="15"/>
        <v>2.47030232430956E-2</v>
      </c>
      <c r="J80" s="5">
        <f t="shared" ca="1" si="16"/>
        <v>3.2470120550802638E-2</v>
      </c>
      <c r="K80" s="5">
        <f t="shared" si="17"/>
        <v>2.2499999999999999E-2</v>
      </c>
      <c r="M80" s="5">
        <f t="shared" ca="1" si="18"/>
        <v>-0.71015428436487049</v>
      </c>
      <c r="N80" s="5">
        <f t="shared" ca="1" si="18"/>
        <v>0.25319010834345512</v>
      </c>
    </row>
    <row r="81" spans="5:14" x14ac:dyDescent="0.2">
      <c r="E81" s="5">
        <f t="shared" si="11"/>
        <v>3.5499999999999954</v>
      </c>
      <c r="F81" s="5">
        <f t="shared" ca="1" si="12"/>
        <v>1.2339577024891009E-2</v>
      </c>
      <c r="G81" s="5">
        <f t="shared" ca="1" si="13"/>
        <v>1.5151948257738582E-2</v>
      </c>
      <c r="H81" s="5">
        <f t="shared" ca="1" si="14"/>
        <v>2.0534748384257825E-2</v>
      </c>
      <c r="I81" s="5">
        <f t="shared" ca="1" si="15"/>
        <v>2.5131730730858531E-2</v>
      </c>
      <c r="J81" s="5">
        <f t="shared" ca="1" si="16"/>
        <v>3.3185302549630299E-2</v>
      </c>
      <c r="K81" s="5">
        <f t="shared" si="17"/>
        <v>2.2499999999999999E-2</v>
      </c>
      <c r="M81" s="5">
        <f t="shared" ca="1" si="18"/>
        <v>0.18729110544555017</v>
      </c>
      <c r="N81" s="5">
        <f t="shared" ca="1" si="18"/>
        <v>-0.39257018204202421</v>
      </c>
    </row>
    <row r="82" spans="5:14" x14ac:dyDescent="0.2">
      <c r="E82" s="5">
        <f t="shared" si="11"/>
        <v>3.5999999999999952</v>
      </c>
      <c r="F82" s="5">
        <f t="shared" ca="1" si="12"/>
        <v>1.4818433468340957E-2</v>
      </c>
      <c r="G82" s="5">
        <f t="shared" ca="1" si="13"/>
        <v>1.7355295219759499E-2</v>
      </c>
      <c r="H82" s="5">
        <f t="shared" ca="1" si="14"/>
        <v>2.2178335930881511E-2</v>
      </c>
      <c r="I82" s="5">
        <f t="shared" ca="1" si="15"/>
        <v>2.6199948466105644E-2</v>
      </c>
      <c r="J82" s="5">
        <f t="shared" ca="1" si="16"/>
        <v>3.2795715445567447E-2</v>
      </c>
      <c r="K82" s="5">
        <f t="shared" si="17"/>
        <v>2.2499999999999999E-2</v>
      </c>
      <c r="M82" s="5">
        <f t="shared" ca="1" si="18"/>
        <v>0.54318676066472982</v>
      </c>
      <c r="N82" s="5">
        <f t="shared" ca="1" si="18"/>
        <v>1.4379820275896122</v>
      </c>
    </row>
    <row r="83" spans="5:14" x14ac:dyDescent="0.2">
      <c r="E83" s="5">
        <f t="shared" si="11"/>
        <v>3.649999999999995</v>
      </c>
      <c r="F83" s="5">
        <f t="shared" ca="1" si="12"/>
        <v>1.5654484965218977E-2</v>
      </c>
      <c r="G83" s="5">
        <f t="shared" ca="1" si="13"/>
        <v>1.8373341760537131E-2</v>
      </c>
      <c r="H83" s="5">
        <f t="shared" ca="1" si="14"/>
        <v>2.3551678869646684E-2</v>
      </c>
      <c r="I83" s="5">
        <f t="shared" ca="1" si="15"/>
        <v>2.7913173863669816E-2</v>
      </c>
      <c r="J83" s="5">
        <f t="shared" ca="1" si="16"/>
        <v>3.5355303203185535E-2</v>
      </c>
      <c r="K83" s="5">
        <f t="shared" si="17"/>
        <v>2.2499999999999999E-2</v>
      </c>
      <c r="M83" s="5">
        <f t="shared" ca="1" si="18"/>
        <v>0.91190638219858666</v>
      </c>
      <c r="N83" s="5">
        <f t="shared" ca="1" si="18"/>
        <v>-0.97025285429138641</v>
      </c>
    </row>
    <row r="84" spans="5:14" x14ac:dyDescent="0.2">
      <c r="E84" s="5">
        <f t="shared" si="11"/>
        <v>3.6999999999999948</v>
      </c>
      <c r="F84" s="5">
        <f t="shared" ca="1" si="12"/>
        <v>1.8143339402696333E-2</v>
      </c>
      <c r="G84" s="5">
        <f t="shared" ca="1" si="13"/>
        <v>2.0882972585529229E-2</v>
      </c>
      <c r="H84" s="5">
        <f t="shared" ca="1" si="14"/>
        <v>2.6094218115867446E-2</v>
      </c>
      <c r="I84" s="5">
        <f t="shared" ca="1" si="15"/>
        <v>3.0473559502540978E-2</v>
      </c>
      <c r="J84" s="5">
        <f t="shared" ca="1" si="16"/>
        <v>3.7942182038418135E-2</v>
      </c>
      <c r="K84" s="5">
        <f t="shared" si="17"/>
        <v>2.2499999999999999E-2</v>
      </c>
      <c r="M84" s="5">
        <f t="shared" ca="1" si="18"/>
        <v>1.380752044621282</v>
      </c>
      <c r="N84" s="5">
        <f t="shared" ca="1" si="18"/>
        <v>-0.12317077691985467</v>
      </c>
    </row>
    <row r="85" spans="5:14" x14ac:dyDescent="0.2">
      <c r="E85" s="5">
        <f t="shared" si="11"/>
        <v>3.7499999999999947</v>
      </c>
      <c r="F85" s="5">
        <f t="shared" ca="1" si="12"/>
        <v>1.7740603777664031E-2</v>
      </c>
      <c r="G85" s="5">
        <f t="shared" ca="1" si="13"/>
        <v>2.0593825815439955E-2</v>
      </c>
      <c r="H85" s="5">
        <f t="shared" ca="1" si="14"/>
        <v>2.6023660368838988E-2</v>
      </c>
      <c r="I85" s="5">
        <f t="shared" ca="1" si="15"/>
        <v>3.0606724072856879E-2</v>
      </c>
      <c r="J85" s="5">
        <f t="shared" ca="1" si="16"/>
        <v>3.8560250557410289E-2</v>
      </c>
      <c r="K85" s="5">
        <f t="shared" si="17"/>
        <v>2.2499999999999999E-2</v>
      </c>
      <c r="M85" s="5">
        <f t="shared" ca="1" si="18"/>
        <v>2.3746116723957655E-2</v>
      </c>
      <c r="N85" s="5">
        <f t="shared" ca="1" si="18"/>
        <v>-0.61262541314839769</v>
      </c>
    </row>
    <row r="86" spans="5:14" x14ac:dyDescent="0.2">
      <c r="E86" s="5">
        <f t="shared" si="11"/>
        <v>3.7999999999999945</v>
      </c>
      <c r="F86" s="5">
        <f t="shared" ca="1" si="12"/>
        <v>1.6846079085725094E-2</v>
      </c>
      <c r="G86" s="5">
        <f t="shared" ca="1" si="13"/>
        <v>1.9966874061329458E-2</v>
      </c>
      <c r="H86" s="5">
        <f t="shared" ca="1" si="14"/>
        <v>2.5923323570258481E-2</v>
      </c>
      <c r="I86" s="5">
        <f t="shared" ca="1" si="15"/>
        <v>3.1018263173285977E-2</v>
      </c>
      <c r="J86" s="5">
        <f t="shared" ca="1" si="16"/>
        <v>4.0221293396011625E-2</v>
      </c>
      <c r="K86" s="5">
        <f t="shared" si="17"/>
        <v>2.2499999999999999E-2</v>
      </c>
      <c r="M86" s="5">
        <f t="shared" ca="1" si="18"/>
        <v>0.1766515143788796</v>
      </c>
      <c r="N86" s="5">
        <f t="shared" ca="1" si="18"/>
        <v>-1.4239171754406641</v>
      </c>
    </row>
    <row r="87" spans="5:14" x14ac:dyDescent="0.2">
      <c r="E87" s="5">
        <f t="shared" si="11"/>
        <v>3.8499999999999943</v>
      </c>
      <c r="F87" s="5">
        <f t="shared" ca="1" si="12"/>
        <v>1.7237476501711146E-2</v>
      </c>
      <c r="G87" s="5">
        <f t="shared" ca="1" si="13"/>
        <v>2.0465843961199794E-2</v>
      </c>
      <c r="H87" s="5">
        <f t="shared" ca="1" si="14"/>
        <v>2.6628965587363839E-2</v>
      </c>
      <c r="I87" s="5">
        <f t="shared" ca="1" si="15"/>
        <v>3.1915904867425453E-2</v>
      </c>
      <c r="J87" s="5">
        <f t="shared" ca="1" si="16"/>
        <v>4.1552855279140204E-2</v>
      </c>
      <c r="K87" s="5">
        <f t="shared" si="17"/>
        <v>2.2499999999999999E-2</v>
      </c>
      <c r="M87" s="5">
        <f t="shared" ca="1" si="18"/>
        <v>0.44140618703098955</v>
      </c>
      <c r="N87" s="5">
        <f t="shared" ca="1" si="18"/>
        <v>-0.583223061282796</v>
      </c>
    </row>
    <row r="88" spans="5:14" x14ac:dyDescent="0.2">
      <c r="E88" s="5">
        <f t="shared" si="11"/>
        <v>3.8999999999999941</v>
      </c>
      <c r="F88" s="5">
        <f t="shared" ca="1" si="12"/>
        <v>1.5570161411215181E-2</v>
      </c>
      <c r="G88" s="5">
        <f t="shared" ca="1" si="13"/>
        <v>1.8862206187182044E-2</v>
      </c>
      <c r="H88" s="5">
        <f t="shared" ca="1" si="14"/>
        <v>2.5144266427290625E-2</v>
      </c>
      <c r="I88" s="5">
        <f t="shared" ca="1" si="15"/>
        <v>3.0535377902064943E-2</v>
      </c>
      <c r="J88" s="5">
        <f t="shared" ca="1" si="16"/>
        <v>4.0380163665457436E-2</v>
      </c>
      <c r="K88" s="5">
        <f t="shared" si="17"/>
        <v>2.2499999999999999E-2</v>
      </c>
      <c r="M88" s="5">
        <f t="shared" ca="1" si="18"/>
        <v>-0.83455449728037134</v>
      </c>
      <c r="N88" s="5">
        <f t="shared" ca="1" si="18"/>
        <v>-0.35339028137738993</v>
      </c>
    </row>
    <row r="89" spans="5:14" x14ac:dyDescent="0.2">
      <c r="E89" s="5">
        <f t="shared" si="11"/>
        <v>3.949999999999994</v>
      </c>
      <c r="F89" s="5">
        <f t="shared" ca="1" si="12"/>
        <v>1.1806467069776791E-2</v>
      </c>
      <c r="G89" s="5">
        <f t="shared" ca="1" si="13"/>
        <v>1.5185197273523921E-2</v>
      </c>
      <c r="H89" s="5">
        <f t="shared" ca="1" si="14"/>
        <v>2.1632263990650945E-2</v>
      </c>
      <c r="I89" s="5">
        <f t="shared" ca="1" si="15"/>
        <v>2.7173458732341622E-2</v>
      </c>
      <c r="J89" s="5">
        <f t="shared" ca="1" si="16"/>
        <v>3.7343025781816037E-2</v>
      </c>
      <c r="K89" s="5">
        <f t="shared" si="17"/>
        <v>2.2499999999999999E-2</v>
      </c>
      <c r="M89" s="5">
        <f t="shared" ca="1" si="18"/>
        <v>-1.9433482469774166</v>
      </c>
      <c r="N89" s="5">
        <f t="shared" ca="1" si="18"/>
        <v>-0.47555068295511926</v>
      </c>
    </row>
    <row r="90" spans="5:14" x14ac:dyDescent="0.2">
      <c r="E90" s="5">
        <f t="shared" si="11"/>
        <v>3.9999999999999938</v>
      </c>
      <c r="F90" s="5">
        <f t="shared" ca="1" si="12"/>
        <v>1.289803328042062E-2</v>
      </c>
      <c r="G90" s="5">
        <f t="shared" ca="1" si="13"/>
        <v>1.6348934949627462E-2</v>
      </c>
      <c r="H90" s="5">
        <f t="shared" ca="1" si="14"/>
        <v>2.2932025357806363E-2</v>
      </c>
      <c r="I90" s="5">
        <f t="shared" ca="1" si="15"/>
        <v>2.8594189391887296E-2</v>
      </c>
      <c r="J90" s="5">
        <f t="shared" ca="1" si="16"/>
        <v>3.9021358495006875E-2</v>
      </c>
      <c r="K90" s="5">
        <f t="shared" si="17"/>
        <v>2.2499999999999999E-2</v>
      </c>
      <c r="M90" s="5">
        <f t="shared" ca="1" si="18"/>
        <v>0.72841870314464252</v>
      </c>
      <c r="N90" s="5">
        <f t="shared" ca="1" si="18"/>
        <v>-0.40028803966947191</v>
      </c>
    </row>
    <row r="91" spans="5:14" x14ac:dyDescent="0.2">
      <c r="E91" s="5">
        <f t="shared" si="11"/>
        <v>4.0499999999999936</v>
      </c>
      <c r="F91" s="5">
        <f t="shared" ca="1" si="12"/>
        <v>1.4186857152978707E-2</v>
      </c>
      <c r="G91" s="5">
        <f t="shared" ca="1" si="13"/>
        <v>1.7607949549346521E-2</v>
      </c>
      <c r="H91" s="5">
        <f t="shared" ca="1" si="14"/>
        <v>2.4123141774006662E-2</v>
      </c>
      <c r="I91" s="5">
        <f t="shared" ca="1" si="15"/>
        <v>2.9702281374100449E-2</v>
      </c>
      <c r="J91" s="5">
        <f t="shared" ca="1" si="16"/>
        <v>3.9871416892035522E-2</v>
      </c>
      <c r="K91" s="5">
        <f t="shared" si="17"/>
        <v>2.2499999999999999E-2</v>
      </c>
      <c r="M91" s="5">
        <f t="shared" ca="1" si="18"/>
        <v>0.55220833015912252</v>
      </c>
      <c r="N91" s="5">
        <f t="shared" ca="1" si="18"/>
        <v>0.13517267464810256</v>
      </c>
    </row>
    <row r="92" spans="5:14" x14ac:dyDescent="0.2">
      <c r="E92" s="5">
        <f t="shared" si="11"/>
        <v>4.0999999999999934</v>
      </c>
      <c r="F92" s="5">
        <f t="shared" ca="1" si="12"/>
        <v>9.581245470482308E-3</v>
      </c>
      <c r="G92" s="5">
        <f t="shared" ca="1" si="13"/>
        <v>1.3268715432190005E-2</v>
      </c>
      <c r="H92" s="5">
        <f t="shared" ca="1" si="14"/>
        <v>2.0308418975319535E-2</v>
      </c>
      <c r="I92" s="5">
        <f t="shared" ca="1" si="15"/>
        <v>2.6396817074673867E-2</v>
      </c>
      <c r="J92" s="5">
        <f t="shared" ca="1" si="16"/>
        <v>3.7790343342908359E-2</v>
      </c>
      <c r="K92" s="5">
        <f t="shared" si="17"/>
        <v>2.2499999999999999E-2</v>
      </c>
      <c r="M92" s="5">
        <f t="shared" ca="1" si="18"/>
        <v>-1.9136021853154146</v>
      </c>
      <c r="N92" s="5">
        <f t="shared" ca="1" si="18"/>
        <v>-1.4242549724926006</v>
      </c>
    </row>
    <row r="93" spans="5:14" x14ac:dyDescent="0.2">
      <c r="E93" s="5">
        <f t="shared" si="11"/>
        <v>4.1499999999999932</v>
      </c>
      <c r="F93" s="5">
        <f t="shared" ca="1" si="12"/>
        <v>1.3398794613818748E-2</v>
      </c>
      <c r="G93" s="5">
        <f t="shared" ca="1" si="13"/>
        <v>1.7018210557236652E-2</v>
      </c>
      <c r="H93" s="5">
        <f t="shared" ca="1" si="14"/>
        <v>2.391359312170652E-2</v>
      </c>
      <c r="I93" s="5">
        <f t="shared" ca="1" si="15"/>
        <v>2.9842311188694043E-2</v>
      </c>
      <c r="J93" s="5">
        <f t="shared" ca="1" si="16"/>
        <v>4.0782059541975696E-2</v>
      </c>
      <c r="K93" s="5">
        <f t="shared" si="17"/>
        <v>2.2499999999999999E-2</v>
      </c>
      <c r="M93" s="5">
        <f t="shared" ca="1" si="18"/>
        <v>1.853453743748128</v>
      </c>
      <c r="N93" s="5">
        <f t="shared" ca="1" si="18"/>
        <v>0.33421776093435618</v>
      </c>
    </row>
    <row r="94" spans="5:14" x14ac:dyDescent="0.2">
      <c r="E94" s="5">
        <f t="shared" si="11"/>
        <v>4.1999999999999931</v>
      </c>
      <c r="F94" s="5">
        <f t="shared" ca="1" si="12"/>
        <v>1.1080283023206412E-2</v>
      </c>
      <c r="G94" s="5">
        <f t="shared" ca="1" si="13"/>
        <v>1.4852804001164238E-2</v>
      </c>
      <c r="H94" s="5">
        <f t="shared" ca="1" si="14"/>
        <v>2.2046210363395193E-2</v>
      </c>
      <c r="I94" s="5">
        <f t="shared" ca="1" si="15"/>
        <v>2.8257431372438982E-2</v>
      </c>
      <c r="J94" s="5">
        <f t="shared" ca="1" si="16"/>
        <v>3.9847282181328228E-2</v>
      </c>
      <c r="K94" s="5">
        <f t="shared" si="17"/>
        <v>2.2499999999999999E-2</v>
      </c>
      <c r="M94" s="5">
        <f t="shared" ca="1" si="18"/>
        <v>-0.95607407567511871</v>
      </c>
      <c r="N94" s="5">
        <f t="shared" ca="1" si="18"/>
        <v>-0.83045469409238581</v>
      </c>
    </row>
    <row r="95" spans="5:14" x14ac:dyDescent="0.2">
      <c r="E95" s="5">
        <f t="shared" si="11"/>
        <v>4.2499999999999929</v>
      </c>
      <c r="F95" s="5">
        <f t="shared" ca="1" si="12"/>
        <v>8.7508684019039808E-3</v>
      </c>
      <c r="G95" s="5">
        <f t="shared" ca="1" si="13"/>
        <v>1.2674204786685406E-2</v>
      </c>
      <c r="H95" s="5">
        <f t="shared" ca="1" si="14"/>
        <v>2.0161076983418118E-2</v>
      </c>
      <c r="I95" s="5">
        <f t="shared" ca="1" si="15"/>
        <v>2.6650069443656135E-2</v>
      </c>
      <c r="J95" s="5">
        <f t="shared" ca="1" si="16"/>
        <v>3.8875433772331748E-2</v>
      </c>
      <c r="K95" s="5">
        <f t="shared" si="17"/>
        <v>2.2499999999999999E-2</v>
      </c>
      <c r="M95" s="5">
        <f t="shared" ca="1" si="18"/>
        <v>-0.9722761418552972</v>
      </c>
      <c r="N95" s="5">
        <f t="shared" ca="1" si="18"/>
        <v>-0.8194849605909944</v>
      </c>
    </row>
    <row r="96" spans="5:14" x14ac:dyDescent="0.2">
      <c r="E96" s="5">
        <f t="shared" si="11"/>
        <v>4.2999999999999927</v>
      </c>
      <c r="F96" s="5">
        <f t="shared" ca="1" si="12"/>
        <v>7.9899769195015541E-3</v>
      </c>
      <c r="G96" s="5">
        <f t="shared" ca="1" si="13"/>
        <v>1.2033314923521372E-2</v>
      </c>
      <c r="H96" s="5">
        <f t="shared" ca="1" si="14"/>
        <v>1.9752041268960015E-2</v>
      </c>
      <c r="I96" s="5">
        <f t="shared" ca="1" si="15"/>
        <v>2.6456996703097129E-2</v>
      </c>
      <c r="J96" s="5">
        <f t="shared" ca="1" si="16"/>
        <v>3.9160900721850897E-2</v>
      </c>
      <c r="K96" s="5">
        <f t="shared" si="17"/>
        <v>2.2499999999999999E-2</v>
      </c>
      <c r="M96" s="5">
        <f t="shared" ca="1" si="18"/>
        <v>-0.18521707925457775</v>
      </c>
      <c r="N96" s="5">
        <f t="shared" ca="1" si="18"/>
        <v>-0.65843722535650695</v>
      </c>
    </row>
    <row r="97" spans="5:14" x14ac:dyDescent="0.2">
      <c r="E97" s="5">
        <f t="shared" si="11"/>
        <v>4.3499999999999925</v>
      </c>
      <c r="F97" s="5">
        <f t="shared" ca="1" si="12"/>
        <v>8.2740445561199603E-3</v>
      </c>
      <c r="G97" s="5">
        <f t="shared" ca="1" si="13"/>
        <v>1.2285745306726902E-2</v>
      </c>
      <c r="H97" s="5">
        <f t="shared" ca="1" si="14"/>
        <v>1.9933058230687306E-2</v>
      </c>
      <c r="I97" s="5">
        <f t="shared" ca="1" si="15"/>
        <v>2.6550492670462826E-2</v>
      </c>
      <c r="J97" s="5">
        <f t="shared" ca="1" si="16"/>
        <v>3.8970261587985174E-2</v>
      </c>
      <c r="K97" s="5">
        <f t="shared" si="17"/>
        <v>2.2499999999999999E-2</v>
      </c>
      <c r="M97" s="5">
        <f t="shared" ca="1" si="18"/>
        <v>-2.769541966096245E-2</v>
      </c>
      <c r="N97" s="5">
        <f t="shared" ca="1" si="18"/>
        <v>0.13831402008493221</v>
      </c>
    </row>
    <row r="98" spans="5:14" x14ac:dyDescent="0.2">
      <c r="E98" s="5">
        <f t="shared" si="11"/>
        <v>4.3999999999999924</v>
      </c>
      <c r="F98" s="5">
        <f t="shared" ca="1" si="12"/>
        <v>9.0255558426103541E-3</v>
      </c>
      <c r="G98" s="5">
        <f t="shared" ca="1" si="13"/>
        <v>1.3169644778567195E-2</v>
      </c>
      <c r="H98" s="5">
        <f t="shared" ca="1" si="14"/>
        <v>2.1073599414985447E-2</v>
      </c>
      <c r="I98" s="5">
        <f t="shared" ca="1" si="15"/>
        <v>2.7931317357504266E-2</v>
      </c>
      <c r="J98" s="5">
        <f t="shared" ca="1" si="16"/>
        <v>4.0891413680787601E-2</v>
      </c>
      <c r="K98" s="5">
        <f t="shared" si="17"/>
        <v>2.2499999999999999E-2</v>
      </c>
      <c r="M98" s="5">
        <f t="shared" ca="1" si="18"/>
        <v>0.69353157548758837</v>
      </c>
      <c r="N98" s="5">
        <f t="shared" ca="1" si="18"/>
        <v>-0.72574953349963067</v>
      </c>
    </row>
    <row r="99" spans="5:14" x14ac:dyDescent="0.2">
      <c r="E99" s="5">
        <f t="shared" si="11"/>
        <v>4.4499999999999922</v>
      </c>
      <c r="F99" s="5">
        <f t="shared" ca="1" si="12"/>
        <v>9.5934440406518304E-3</v>
      </c>
      <c r="G99" s="5">
        <f t="shared" ca="1" si="13"/>
        <v>1.3650612333214044E-2</v>
      </c>
      <c r="H99" s="5">
        <f t="shared" ca="1" si="14"/>
        <v>2.1372588802270338E-2</v>
      </c>
      <c r="I99" s="5">
        <f t="shared" ca="1" si="15"/>
        <v>2.8031775509444537E-2</v>
      </c>
      <c r="J99" s="5">
        <f t="shared" ca="1" si="16"/>
        <v>4.0426465772756867E-2</v>
      </c>
      <c r="K99" s="5">
        <f t="shared" si="17"/>
        <v>2.2499999999999999E-2</v>
      </c>
      <c r="M99" s="5">
        <f t="shared" ca="1" si="18"/>
        <v>-2.5235598686403904E-2</v>
      </c>
      <c r="N99" s="5">
        <f t="shared" ca="1" si="18"/>
        <v>0.42703801454400203</v>
      </c>
    </row>
    <row r="100" spans="5:14" x14ac:dyDescent="0.2">
      <c r="E100" s="5">
        <f t="shared" si="11"/>
        <v>4.499999999999992</v>
      </c>
      <c r="F100" s="5">
        <f t="shared" ca="1" si="12"/>
        <v>9.2745125101327298E-3</v>
      </c>
      <c r="G100" s="5">
        <f t="shared" ca="1" si="13"/>
        <v>1.3467309560384864E-2</v>
      </c>
      <c r="H100" s="5">
        <f t="shared" ca="1" si="14"/>
        <v>2.1452399681577351E-2</v>
      </c>
      <c r="I100" s="5">
        <f t="shared" ca="1" si="15"/>
        <v>2.8357870019888563E-2</v>
      </c>
      <c r="J100" s="5">
        <f t="shared" ca="1" si="16"/>
        <v>4.1307734769093989E-2</v>
      </c>
      <c r="K100" s="5">
        <f t="shared" si="17"/>
        <v>2.2499999999999999E-2</v>
      </c>
      <c r="M100" s="5">
        <f t="shared" ca="1" si="18"/>
        <v>0.10405967622853751</v>
      </c>
      <c r="N100" s="5">
        <f t="shared" ca="1" si="18"/>
        <v>-0.74493952575962386</v>
      </c>
    </row>
    <row r="101" spans="5:14" x14ac:dyDescent="0.2">
      <c r="E101" s="5">
        <f t="shared" si="11"/>
        <v>4.5499999999999918</v>
      </c>
      <c r="F101" s="5">
        <f t="shared" ca="1" si="12"/>
        <v>1.4151585281548015E-2</v>
      </c>
      <c r="G101" s="5">
        <f t="shared" ca="1" si="13"/>
        <v>1.7831951251512927E-2</v>
      </c>
      <c r="H101" s="5">
        <f t="shared" ca="1" si="14"/>
        <v>2.4784021791524519E-2</v>
      </c>
      <c r="I101" s="5">
        <f t="shared" ca="1" si="15"/>
        <v>3.0639457932261145E-2</v>
      </c>
      <c r="J101" s="5">
        <f t="shared" ca="1" si="16"/>
        <v>4.0897461043029625E-2</v>
      </c>
      <c r="K101" s="5">
        <f t="shared" si="17"/>
        <v>2.2499999999999999E-2</v>
      </c>
      <c r="M101" s="5">
        <f t="shared" ca="1" si="18"/>
        <v>1.1941102005701039</v>
      </c>
      <c r="N101" s="5">
        <f t="shared" ca="1" si="18"/>
        <v>2.6636501104970538</v>
      </c>
    </row>
    <row r="102" spans="5:14" x14ac:dyDescent="0.2">
      <c r="E102" s="5">
        <f t="shared" si="11"/>
        <v>4.5999999999999917</v>
      </c>
      <c r="F102" s="5">
        <f t="shared" ca="1" si="12"/>
        <v>1.5197782575671885E-2</v>
      </c>
      <c r="G102" s="5">
        <f t="shared" ca="1" si="13"/>
        <v>1.8812073387261301E-2</v>
      </c>
      <c r="H102" s="5">
        <f t="shared" ca="1" si="14"/>
        <v>2.5623818695535951E-2</v>
      </c>
      <c r="I102" s="5">
        <f t="shared" ca="1" si="15"/>
        <v>3.1321672592106775E-2</v>
      </c>
      <c r="J102" s="5">
        <f t="shared" ca="1" si="16"/>
        <v>4.1148557652272315E-2</v>
      </c>
      <c r="K102" s="5">
        <f t="shared" si="17"/>
        <v>2.2499999999999999E-2</v>
      </c>
      <c r="M102" s="5">
        <f t="shared" ca="1" si="18"/>
        <v>0.31508133608272448</v>
      </c>
      <c r="N102" s="5">
        <f t="shared" ca="1" si="18"/>
        <v>0.31414846995787737</v>
      </c>
    </row>
    <row r="103" spans="5:14" x14ac:dyDescent="0.2">
      <c r="E103" s="5">
        <f t="shared" si="11"/>
        <v>4.6499999999999915</v>
      </c>
      <c r="F103" s="5">
        <f t="shared" ca="1" si="12"/>
        <v>1.5164615641093464E-2</v>
      </c>
      <c r="G103" s="5">
        <f t="shared" ca="1" si="13"/>
        <v>1.8768808786813244E-2</v>
      </c>
      <c r="H103" s="5">
        <f t="shared" ca="1" si="14"/>
        <v>2.555216116880123E-2</v>
      </c>
      <c r="I103" s="5">
        <f t="shared" ca="1" si="15"/>
        <v>3.1204424927565366E-2</v>
      </c>
      <c r="J103" s="5">
        <f t="shared" ca="1" si="16"/>
        <v>4.0884784703013384E-2</v>
      </c>
      <c r="K103" s="5">
        <f t="shared" si="17"/>
        <v>2.2499999999999999E-2</v>
      </c>
      <c r="M103" s="5">
        <f t="shared" ca="1" si="18"/>
        <v>-0.12942166644343889</v>
      </c>
      <c r="N103" s="5">
        <f t="shared" ca="1" si="18"/>
        <v>1.8556775620131916E-2</v>
      </c>
    </row>
    <row r="104" spans="5:14" x14ac:dyDescent="0.2">
      <c r="E104" s="5">
        <f t="shared" si="11"/>
        <v>4.6999999999999913</v>
      </c>
      <c r="F104" s="5">
        <f t="shared" ca="1" si="12"/>
        <v>1.4743327917980635E-2</v>
      </c>
      <c r="G104" s="5">
        <f t="shared" ca="1" si="13"/>
        <v>1.8437476349443826E-2</v>
      </c>
      <c r="H104" s="5">
        <f t="shared" ca="1" si="14"/>
        <v>2.5392521657810623E-2</v>
      </c>
      <c r="I104" s="5">
        <f t="shared" ca="1" si="15"/>
        <v>3.1199385562319538E-2</v>
      </c>
      <c r="J104" s="5">
        <f t="shared" ca="1" si="16"/>
        <v>4.1236634195654057E-2</v>
      </c>
      <c r="K104" s="5">
        <f t="shared" si="17"/>
        <v>2.2499999999999999E-2</v>
      </c>
      <c r="M104" s="5">
        <f t="shared" ca="1" si="18"/>
        <v>-6.5876218984669777E-2</v>
      </c>
      <c r="N104" s="5">
        <f t="shared" ca="1" si="18"/>
        <v>-0.50893371996288472</v>
      </c>
    </row>
    <row r="105" spans="5:14" x14ac:dyDescent="0.2">
      <c r="E105" s="5">
        <f t="shared" si="11"/>
        <v>4.7499999999999911</v>
      </c>
      <c r="F105" s="5">
        <f t="shared" ca="1" si="12"/>
        <v>1.5260857325222402E-2</v>
      </c>
      <c r="G105" s="5">
        <f t="shared" ca="1" si="13"/>
        <v>1.9211478845067118E-2</v>
      </c>
      <c r="H105" s="5">
        <f t="shared" ca="1" si="14"/>
        <v>2.6671236247828495E-2</v>
      </c>
      <c r="I105" s="5">
        <f t="shared" ca="1" si="15"/>
        <v>3.2965850670549059E-2</v>
      </c>
      <c r="J105" s="5">
        <f t="shared" ca="1" si="16"/>
        <v>4.4189155868288664E-2</v>
      </c>
      <c r="K105" s="5">
        <f t="shared" si="17"/>
        <v>2.2499999999999999E-2</v>
      </c>
      <c r="M105" s="5">
        <f t="shared" ca="1" si="18"/>
        <v>0.92242981793267731</v>
      </c>
      <c r="N105" s="5">
        <f t="shared" ca="1" si="18"/>
        <v>-1.3861207940561133</v>
      </c>
    </row>
    <row r="106" spans="5:14" x14ac:dyDescent="0.2">
      <c r="E106" s="5">
        <f t="shared" si="11"/>
        <v>4.7999999999999909</v>
      </c>
      <c r="F106" s="5">
        <f t="shared" ca="1" si="12"/>
        <v>1.0637810795250193E-2</v>
      </c>
      <c r="G106" s="5">
        <f t="shared" ca="1" si="13"/>
        <v>1.4860508332388464E-2</v>
      </c>
      <c r="H106" s="5">
        <f t="shared" ca="1" si="14"/>
        <v>2.285617135208233E-2</v>
      </c>
      <c r="I106" s="5">
        <f t="shared" ca="1" si="15"/>
        <v>2.9669820657645788E-2</v>
      </c>
      <c r="J106" s="5">
        <f t="shared" ca="1" si="16"/>
        <v>4.2138984454821053E-2</v>
      </c>
      <c r="K106" s="5">
        <f t="shared" si="17"/>
        <v>2.2499999999999999E-2</v>
      </c>
      <c r="M106" s="5">
        <f t="shared" ca="1" si="18"/>
        <v>-1.9142212464787365</v>
      </c>
      <c r="N106" s="5">
        <f t="shared" ca="1" si="18"/>
        <v>-1.4692961090987042</v>
      </c>
    </row>
    <row r="107" spans="5:14" x14ac:dyDescent="0.2">
      <c r="E107" s="5">
        <f t="shared" si="11"/>
        <v>4.8499999999999908</v>
      </c>
      <c r="F107" s="5">
        <f t="shared" ca="1" si="12"/>
        <v>1.0160556602922631E-2</v>
      </c>
      <c r="G107" s="5">
        <f t="shared" ca="1" si="13"/>
        <v>1.447117030648064E-2</v>
      </c>
      <c r="H107" s="5">
        <f t="shared" ca="1" si="14"/>
        <v>2.2634409793889858E-2</v>
      </c>
      <c r="I107" s="5">
        <f t="shared" ca="1" si="15"/>
        <v>2.9598669315354587E-2</v>
      </c>
      <c r="J107" s="5">
        <f t="shared" ca="1" si="16"/>
        <v>4.2386590102342574E-2</v>
      </c>
      <c r="K107" s="5">
        <f t="shared" si="17"/>
        <v>2.2499999999999999E-2</v>
      </c>
      <c r="M107" s="5">
        <f t="shared" ca="1" si="18"/>
        <v>-0.11842382610602709</v>
      </c>
      <c r="N107" s="5">
        <f t="shared" ca="1" si="18"/>
        <v>-0.50145385846596824</v>
      </c>
    </row>
    <row r="108" spans="5:14" x14ac:dyDescent="0.2">
      <c r="E108" s="5">
        <f t="shared" si="11"/>
        <v>4.8999999999999906</v>
      </c>
      <c r="F108" s="5">
        <f t="shared" ca="1" si="12"/>
        <v>1.0215865659804963E-2</v>
      </c>
      <c r="G108" s="5">
        <f t="shared" ca="1" si="13"/>
        <v>1.436519977488135E-2</v>
      </c>
      <c r="H108" s="5">
        <f t="shared" ca="1" si="14"/>
        <v>2.219761285716406E-2</v>
      </c>
      <c r="I108" s="5">
        <f t="shared" ca="1" si="15"/>
        <v>2.8813926192484147E-2</v>
      </c>
      <c r="J108" s="5">
        <f t="shared" ca="1" si="16"/>
        <v>4.0671850593901646E-2</v>
      </c>
      <c r="K108" s="5">
        <f t="shared" si="17"/>
        <v>2.2499999999999999E-2</v>
      </c>
      <c r="M108" s="5">
        <f t="shared" ca="1" si="18"/>
        <v>-0.51911566423991129</v>
      </c>
      <c r="N108" s="5">
        <f t="shared" ca="1" si="18"/>
        <v>0.80856291982355266</v>
      </c>
    </row>
    <row r="109" spans="5:14" x14ac:dyDescent="0.2">
      <c r="E109" s="5">
        <f t="shared" si="11"/>
        <v>4.9499999999999904</v>
      </c>
      <c r="F109" s="5">
        <f t="shared" ca="1" si="12"/>
        <v>1.0510287976278518E-2</v>
      </c>
      <c r="G109" s="5">
        <f t="shared" ca="1" si="13"/>
        <v>1.4536224748386646E-2</v>
      </c>
      <c r="H109" s="5">
        <f t="shared" ca="1" si="14"/>
        <v>2.2113561283452272E-2</v>
      </c>
      <c r="I109" s="5">
        <f t="shared" ca="1" si="15"/>
        <v>2.8457504975860512E-2</v>
      </c>
      <c r="J109" s="5">
        <f t="shared" ca="1" si="16"/>
        <v>3.9589464435421544E-2</v>
      </c>
      <c r="K109" s="5">
        <f t="shared" si="17"/>
        <v>2.2499999999999999E-2</v>
      </c>
      <c r="M109" s="5">
        <f t="shared" ca="1" si="18"/>
        <v>-0.27447760174246127</v>
      </c>
      <c r="N109" s="5">
        <f t="shared" ca="1" si="18"/>
        <v>0.60816426520667388</v>
      </c>
    </row>
    <row r="110" spans="5:14" x14ac:dyDescent="0.2">
      <c r="E110" s="5">
        <f t="shared" si="11"/>
        <v>4.9999999999999902</v>
      </c>
      <c r="F110" s="5">
        <f t="shared" ca="1" si="12"/>
        <v>9.0531844532581469E-3</v>
      </c>
      <c r="G110" s="5">
        <f t="shared" ca="1" si="13"/>
        <v>1.3366544101882226E-2</v>
      </c>
      <c r="H110" s="5">
        <f t="shared" ca="1" si="14"/>
        <v>2.151042629437085E-2</v>
      </c>
      <c r="I110" s="5">
        <f t="shared" ca="1" si="15"/>
        <v>2.8403604467553918E-2</v>
      </c>
      <c r="J110" s="5">
        <f t="shared" ca="1" si="16"/>
        <v>4.0874700930154356E-2</v>
      </c>
      <c r="K110" s="5">
        <f t="shared" si="17"/>
        <v>2.2499999999999999E-2</v>
      </c>
      <c r="M110" s="5">
        <f t="shared" ca="1" si="18"/>
        <v>-0.10130511724470814</v>
      </c>
      <c r="N110" s="5">
        <f t="shared" ca="1" si="18"/>
        <v>-1.5543884581301821</v>
      </c>
    </row>
    <row r="111" spans="5:14" x14ac:dyDescent="0.2">
      <c r="E111" s="5">
        <f t="shared" si="11"/>
        <v>5.0499999999999901</v>
      </c>
      <c r="F111" s="5">
        <f t="shared" ca="1" si="12"/>
        <v>8.1058423801843842E-3</v>
      </c>
      <c r="G111" s="5">
        <f t="shared" ca="1" si="13"/>
        <v>1.240947986393604E-2</v>
      </c>
      <c r="H111" s="5">
        <f t="shared" ca="1" si="14"/>
        <v>2.0525599856435154E-2</v>
      </c>
      <c r="I111" s="5">
        <f t="shared" ca="1" si="15"/>
        <v>2.7373797940407778E-2</v>
      </c>
      <c r="J111" s="5">
        <f t="shared" ca="1" si="16"/>
        <v>3.9682739249789656E-2</v>
      </c>
      <c r="K111" s="5">
        <f t="shared" si="17"/>
        <v>2.2499999999999999E-2</v>
      </c>
      <c r="M111" s="5">
        <f t="shared" ca="1" si="18"/>
        <v>-0.65433917011376508</v>
      </c>
      <c r="N111" s="5">
        <f t="shared" ca="1" si="18"/>
        <v>7.8998295671297569E-3</v>
      </c>
    </row>
    <row r="112" spans="5:14" x14ac:dyDescent="0.2">
      <c r="E112" s="5">
        <f t="shared" si="11"/>
        <v>5.0999999999999899</v>
      </c>
      <c r="F112" s="5">
        <f t="shared" ca="1" si="12"/>
        <v>7.6599961908831683E-3</v>
      </c>
      <c r="G112" s="5">
        <f t="shared" ca="1" si="13"/>
        <v>1.1940300094176388E-2</v>
      </c>
      <c r="H112" s="5">
        <f t="shared" ca="1" si="14"/>
        <v>2.0001420501795684E-2</v>
      </c>
      <c r="I112" s="5">
        <f t="shared" ca="1" si="15"/>
        <v>2.6777334509596146E-2</v>
      </c>
      <c r="J112" s="5">
        <f t="shared" ca="1" si="16"/>
        <v>3.8861704777343083E-2</v>
      </c>
      <c r="K112" s="5">
        <f t="shared" si="17"/>
        <v>2.2499999999999999E-2</v>
      </c>
      <c r="M112" s="5">
        <f t="shared" ca="1" si="18"/>
        <v>-0.41118654000396848</v>
      </c>
      <c r="N112" s="5">
        <f t="shared" ca="1" si="18"/>
        <v>7.8419988244646355E-2</v>
      </c>
    </row>
    <row r="113" spans="5:14" x14ac:dyDescent="0.2">
      <c r="E113" s="5">
        <f t="shared" si="11"/>
        <v>5.1499999999999897</v>
      </c>
      <c r="F113" s="5">
        <f t="shared" ca="1" si="12"/>
        <v>7.2239667128265557E-3</v>
      </c>
      <c r="G113" s="5">
        <f t="shared" ca="1" si="13"/>
        <v>1.1373921575261098E-2</v>
      </c>
      <c r="H113" s="5">
        <f t="shared" ca="1" si="14"/>
        <v>1.9165995986115923E-2</v>
      </c>
      <c r="I113" s="5">
        <f t="shared" ca="1" si="15"/>
        <v>2.5655573009629846E-2</v>
      </c>
      <c r="J113" s="5">
        <f t="shared" ca="1" si="16"/>
        <v>3.6985634783333457E-2</v>
      </c>
      <c r="K113" s="5">
        <f t="shared" si="17"/>
        <v>2.2499999999999999E-2</v>
      </c>
      <c r="M113" s="5">
        <f t="shared" ca="1" si="18"/>
        <v>-0.70358169748659183</v>
      </c>
      <c r="N113" s="5">
        <f t="shared" ca="1" si="18"/>
        <v>0.64036833515857072</v>
      </c>
    </row>
    <row r="114" spans="5:14" x14ac:dyDescent="0.2">
      <c r="E114" s="5">
        <f t="shared" si="11"/>
        <v>5.1999999999999895</v>
      </c>
      <c r="F114" s="5">
        <f t="shared" ca="1" si="12"/>
        <v>5.4159664664094834E-3</v>
      </c>
      <c r="G114" s="5">
        <f t="shared" ca="1" si="13"/>
        <v>9.5485230233128392E-3</v>
      </c>
      <c r="H114" s="5">
        <f t="shared" ca="1" si="14"/>
        <v>1.7297438029122484E-2</v>
      </c>
      <c r="I114" s="5">
        <f t="shared" ca="1" si="15"/>
        <v>2.3726612274423929E-2</v>
      </c>
      <c r="J114" s="5">
        <f t="shared" ca="1" si="16"/>
        <v>3.4880395980028012E-2</v>
      </c>
      <c r="K114" s="5">
        <f t="shared" si="17"/>
        <v>2.2499999999999999E-2</v>
      </c>
      <c r="M114" s="5">
        <f t="shared" ca="1" si="18"/>
        <v>-1.1506030751602818</v>
      </c>
      <c r="N114" s="5">
        <f t="shared" ca="1" si="18"/>
        <v>4.4998488243864543E-2</v>
      </c>
    </row>
    <row r="115" spans="5:14" x14ac:dyDescent="0.2">
      <c r="E115" s="5">
        <f t="shared" si="11"/>
        <v>5.2499999999999893</v>
      </c>
      <c r="F115" s="5">
        <f t="shared" ca="1" si="12"/>
        <v>8.0450054005393214E-3</v>
      </c>
      <c r="G115" s="5">
        <f t="shared" ca="1" si="13"/>
        <v>1.1947456113988246E-2</v>
      </c>
      <c r="H115" s="5">
        <f t="shared" ca="1" si="14"/>
        <v>1.9227783694276177E-2</v>
      </c>
      <c r="I115" s="5">
        <f t="shared" ca="1" si="15"/>
        <v>2.5171305513992114E-2</v>
      </c>
      <c r="J115" s="5">
        <f t="shared" ca="1" si="16"/>
        <v>3.5093344688817557E-2</v>
      </c>
      <c r="K115" s="5">
        <f t="shared" si="17"/>
        <v>2.2499999999999999E-2</v>
      </c>
      <c r="M115" s="5">
        <f t="shared" ca="1" si="18"/>
        <v>0.73631225423706326</v>
      </c>
      <c r="N115" s="5">
        <f t="shared" ca="1" si="18"/>
        <v>1.1630244170139941</v>
      </c>
    </row>
    <row r="116" spans="5:14" x14ac:dyDescent="0.2">
      <c r="E116" s="5">
        <f t="shared" si="11"/>
        <v>5.2999999999999892</v>
      </c>
      <c r="F116" s="5">
        <f t="shared" ca="1" si="12"/>
        <v>8.5976549888075703E-3</v>
      </c>
      <c r="G116" s="5">
        <f t="shared" ca="1" si="13"/>
        <v>1.2412265734698988E-2</v>
      </c>
      <c r="H116" s="5">
        <f t="shared" ca="1" si="14"/>
        <v>1.9508529803188096E-2</v>
      </c>
      <c r="I116" s="5">
        <f t="shared" ca="1" si="15"/>
        <v>2.5251173601374865E-2</v>
      </c>
      <c r="J116" s="5">
        <f t="shared" ca="1" si="16"/>
        <v>3.46656296657687E-2</v>
      </c>
      <c r="K116" s="5">
        <f t="shared" si="17"/>
        <v>2.2499999999999999E-2</v>
      </c>
      <c r="M116" s="5">
        <f t="shared" ca="1" si="18"/>
        <v>-1.9762538930631735E-2</v>
      </c>
      <c r="N116" s="5">
        <f t="shared" ca="1" si="18"/>
        <v>0.41341409370441617</v>
      </c>
    </row>
    <row r="117" spans="5:14" x14ac:dyDescent="0.2">
      <c r="E117" s="5">
        <f t="shared" si="11"/>
        <v>5.349999999999989</v>
      </c>
      <c r="F117" s="5">
        <f t="shared" ca="1" si="12"/>
        <v>7.5359233311224662E-3</v>
      </c>
      <c r="G117" s="5">
        <f t="shared" ca="1" si="13"/>
        <v>1.172274238195299E-2</v>
      </c>
      <c r="H117" s="5">
        <f t="shared" ca="1" si="14"/>
        <v>1.9555038299727441E-2</v>
      </c>
      <c r="I117" s="5">
        <f t="shared" ca="1" si="15"/>
        <v>2.6017265919646374E-2</v>
      </c>
      <c r="J117" s="5">
        <f t="shared" ca="1" si="16"/>
        <v>3.7231573301839099E-2</v>
      </c>
      <c r="K117" s="5">
        <f t="shared" si="17"/>
        <v>2.2499999999999999E-2</v>
      </c>
      <c r="M117" s="5">
        <f t="shared" ca="1" si="18"/>
        <v>0.366685943935952</v>
      </c>
      <c r="N117" s="5">
        <f t="shared" ca="1" si="18"/>
        <v>-2.008157356690333</v>
      </c>
    </row>
    <row r="118" spans="5:14" x14ac:dyDescent="0.2">
      <c r="E118" s="5">
        <f t="shared" si="11"/>
        <v>5.3999999999999888</v>
      </c>
      <c r="F118" s="5">
        <f t="shared" ca="1" si="12"/>
        <v>3.8395610857026672E-3</v>
      </c>
      <c r="G118" s="5">
        <f t="shared" ca="1" si="13"/>
        <v>8.1113851111433346E-3</v>
      </c>
      <c r="H118" s="5">
        <f t="shared" ca="1" si="14"/>
        <v>1.6105314254886018E-2</v>
      </c>
      <c r="I118" s="5">
        <f t="shared" ca="1" si="15"/>
        <v>2.271314719154352E-2</v>
      </c>
      <c r="J118" s="5">
        <f t="shared" ca="1" si="16"/>
        <v>3.4267923962696276E-2</v>
      </c>
      <c r="K118" s="5">
        <f t="shared" si="17"/>
        <v>2.2499999999999999E-2</v>
      </c>
      <c r="M118" s="5">
        <f t="shared" ca="1" si="18"/>
        <v>-1.9186926764199308</v>
      </c>
      <c r="N118" s="5">
        <f t="shared" ca="1" si="18"/>
        <v>-0.49818689171770192</v>
      </c>
    </row>
    <row r="119" spans="5:14" x14ac:dyDescent="0.2">
      <c r="E119" s="5">
        <f t="shared" si="11"/>
        <v>5.4499999999999886</v>
      </c>
      <c r="F119" s="5">
        <f t="shared" ca="1" si="12"/>
        <v>1.5331772102966114E-3</v>
      </c>
      <c r="G119" s="5">
        <f t="shared" ca="1" si="13"/>
        <v>5.7786820248010339E-3</v>
      </c>
      <c r="H119" s="5">
        <f t="shared" ca="1" si="14"/>
        <v>1.3711614161851033E-2</v>
      </c>
      <c r="I119" s="5">
        <f t="shared" ca="1" si="15"/>
        <v>2.0242587441288065E-2</v>
      </c>
      <c r="J119" s="5">
        <f t="shared" ca="1" si="16"/>
        <v>3.1586264193533657E-2</v>
      </c>
      <c r="K119" s="5">
        <f t="shared" si="17"/>
        <v>2.2499999999999999E-2</v>
      </c>
      <c r="M119" s="5">
        <f t="shared" ca="1" si="18"/>
        <v>-1.4546223237343554</v>
      </c>
      <c r="N119" s="5">
        <f t="shared" ca="1" si="18"/>
        <v>8.6425280884691702E-2</v>
      </c>
    </row>
    <row r="120" spans="5:14" x14ac:dyDescent="0.2">
      <c r="E120" s="5">
        <f t="shared" si="11"/>
        <v>5.4999999999999885</v>
      </c>
      <c r="F120" s="5">
        <f t="shared" ca="1" si="12"/>
        <v>2.2368528594786537E-3</v>
      </c>
      <c r="G120" s="5">
        <f t="shared" ca="1" si="13"/>
        <v>6.3138642394358745E-3</v>
      </c>
      <c r="H120" s="5">
        <f t="shared" ca="1" si="14"/>
        <v>1.3901472285549091E-2</v>
      </c>
      <c r="I120" s="5">
        <f t="shared" ca="1" si="15"/>
        <v>2.007146588102619E-2</v>
      </c>
      <c r="J120" s="5">
        <f t="shared" ca="1" si="16"/>
        <v>3.0503031469024344E-2</v>
      </c>
      <c r="K120" s="5">
        <f t="shared" si="17"/>
        <v>2.2499999999999999E-2</v>
      </c>
      <c r="M120" s="5">
        <f t="shared" ca="1" si="18"/>
        <v>-0.16801721303235606</v>
      </c>
      <c r="N120" s="5">
        <f t="shared" ca="1" si="18"/>
        <v>0.83335226805178308</v>
      </c>
    </row>
    <row r="121" spans="5:14" x14ac:dyDescent="0.2">
      <c r="E121" s="5">
        <f t="shared" si="11"/>
        <v>5.5499999999999883</v>
      </c>
      <c r="F121" s="5">
        <f t="shared" ca="1" si="12"/>
        <v>2.5039743704515067E-3</v>
      </c>
      <c r="G121" s="5">
        <f t="shared" ca="1" si="13"/>
        <v>6.2753742070412056E-3</v>
      </c>
      <c r="H121" s="5">
        <f t="shared" ca="1" si="14"/>
        <v>1.3243447415843535E-2</v>
      </c>
      <c r="I121" s="5">
        <f t="shared" ca="1" si="15"/>
        <v>1.8778545351268706E-2</v>
      </c>
      <c r="J121" s="5">
        <f t="shared" ca="1" si="16"/>
        <v>2.7625280577101861E-2</v>
      </c>
      <c r="K121" s="5">
        <f t="shared" si="17"/>
        <v>2.2499999999999999E-2</v>
      </c>
      <c r="M121" s="5">
        <f t="shared" ca="1" si="18"/>
        <v>-0.79002304483697205</v>
      </c>
      <c r="N121" s="5">
        <f t="shared" ca="1" si="18"/>
        <v>1.5536801442844306</v>
      </c>
    </row>
    <row r="122" spans="5:14" x14ac:dyDescent="0.2">
      <c r="E122" s="5">
        <f t="shared" si="11"/>
        <v>5.5999999999999881</v>
      </c>
      <c r="F122" s="5">
        <f t="shared" ca="1" si="12"/>
        <v>8.3843355328460886E-4</v>
      </c>
      <c r="G122" s="5">
        <f t="shared" ca="1" si="13"/>
        <v>4.6341836071588606E-3</v>
      </c>
      <c r="H122" s="5">
        <f t="shared" ca="1" si="14"/>
        <v>1.1642677066914721E-2</v>
      </c>
      <c r="I122" s="5">
        <f t="shared" ca="1" si="15"/>
        <v>1.7203242539000553E-2</v>
      </c>
      <c r="J122" s="5">
        <f t="shared" ca="1" si="16"/>
        <v>2.6139037855602523E-2</v>
      </c>
      <c r="K122" s="5">
        <f t="shared" si="17"/>
        <v>2.2499999999999999E-2</v>
      </c>
      <c r="M122" s="5">
        <f t="shared" ca="1" si="18"/>
        <v>-0.93902006861430642</v>
      </c>
      <c r="N122" s="5">
        <f t="shared" ca="1" si="18"/>
        <v>-0.18345295636508929</v>
      </c>
    </row>
    <row r="123" spans="5:14" x14ac:dyDescent="0.2">
      <c r="E123" s="5">
        <f t="shared" si="11"/>
        <v>5.6499999999999879</v>
      </c>
      <c r="F123" s="5">
        <f t="shared" ca="1" si="12"/>
        <v>9.409127998024689E-5</v>
      </c>
      <c r="G123" s="5">
        <f t="shared" ca="1" si="13"/>
        <v>3.8797716447043998E-3</v>
      </c>
      <c r="H123" s="5">
        <f t="shared" ca="1" si="14"/>
        <v>1.0859885733867942E-2</v>
      </c>
      <c r="I123" s="5">
        <f t="shared" ca="1" si="15"/>
        <v>1.6377746851417081E-2</v>
      </c>
      <c r="J123" s="5">
        <f t="shared" ca="1" si="16"/>
        <v>2.5234362755462609E-2</v>
      </c>
      <c r="K123" s="5">
        <f t="shared" si="17"/>
        <v>2.2499999999999999E-2</v>
      </c>
      <c r="M123" s="5">
        <f t="shared" ca="1" si="18"/>
        <v>-0.52036300445475803</v>
      </c>
      <c r="N123" s="5">
        <f t="shared" ca="1" si="18"/>
        <v>-3.4473699385006995E-3</v>
      </c>
    </row>
    <row r="124" spans="5:14" x14ac:dyDescent="0.2">
      <c r="E124" s="5">
        <f t="shared" si="11"/>
        <v>5.6999999999999877</v>
      </c>
      <c r="F124" s="5">
        <f t="shared" ca="1" si="12"/>
        <v>3.3008426704581439E-3</v>
      </c>
      <c r="G124" s="5">
        <f t="shared" ca="1" si="13"/>
        <v>7.0286252406666248E-3</v>
      </c>
      <c r="H124" s="5">
        <f t="shared" ca="1" si="14"/>
        <v>1.3884757623522703E-2</v>
      </c>
      <c r="I124" s="5">
        <f t="shared" ca="1" si="15"/>
        <v>1.9264945990156466E-2</v>
      </c>
      <c r="J124" s="5">
        <f t="shared" ca="1" si="16"/>
        <v>2.7807325435730116E-2</v>
      </c>
      <c r="K124" s="5">
        <f t="shared" si="17"/>
        <v>2.2499999999999999E-2</v>
      </c>
      <c r="M124" s="5">
        <f t="shared" ca="1" si="18"/>
        <v>1.5555391247598989</v>
      </c>
      <c r="N124" s="5">
        <f t="shared" ca="1" si="18"/>
        <v>0.24710854832022733</v>
      </c>
    </row>
    <row r="125" spans="5:14" x14ac:dyDescent="0.2">
      <c r="E125" s="5">
        <f t="shared" si="11"/>
        <v>5.7499999999999876</v>
      </c>
      <c r="F125" s="5">
        <f t="shared" ca="1" si="12"/>
        <v>2.6850497683286473E-3</v>
      </c>
      <c r="G125" s="5">
        <f t="shared" ca="1" si="13"/>
        <v>6.4350173289625919E-3</v>
      </c>
      <c r="H125" s="5">
        <f t="shared" ca="1" si="14"/>
        <v>1.332740060514208E-2</v>
      </c>
      <c r="I125" s="5">
        <f t="shared" ca="1" si="15"/>
        <v>1.8730790550794702E-2</v>
      </c>
      <c r="J125" s="5">
        <f t="shared" ca="1" si="16"/>
        <v>2.7357080685145717E-2</v>
      </c>
      <c r="K125" s="5">
        <f t="shared" si="17"/>
        <v>2.2499999999999999E-2</v>
      </c>
      <c r="M125" s="5">
        <f t="shared" ca="1" si="18"/>
        <v>-0.35529959297578895</v>
      </c>
      <c r="N125" s="5">
        <f t="shared" ca="1" si="18"/>
        <v>-0.17531067244071785</v>
      </c>
    </row>
    <row r="126" spans="5:14" x14ac:dyDescent="0.2">
      <c r="E126" s="5">
        <f t="shared" si="11"/>
        <v>5.7999999999999874</v>
      </c>
      <c r="F126" s="5">
        <f t="shared" ca="1" si="12"/>
        <v>2.0804726845961201E-4</v>
      </c>
      <c r="G126" s="5">
        <f t="shared" ca="1" si="13"/>
        <v>4.1893023339526041E-3</v>
      </c>
      <c r="H126" s="5">
        <f t="shared" ca="1" si="14"/>
        <v>1.1536221253841435E-2</v>
      </c>
      <c r="I126" s="5">
        <f t="shared" ca="1" si="15"/>
        <v>1.7381682829168764E-2</v>
      </c>
      <c r="J126" s="5">
        <f t="shared" ca="1" si="16"/>
        <v>2.713869761539469E-2</v>
      </c>
      <c r="K126" s="5">
        <f t="shared" si="17"/>
        <v>2.2499999999999999E-2</v>
      </c>
      <c r="M126" s="5">
        <f t="shared" ca="1" si="18"/>
        <v>-0.81134084337647572</v>
      </c>
      <c r="N126" s="5">
        <f t="shared" ca="1" si="18"/>
        <v>-1.276537277923766</v>
      </c>
    </row>
    <row r="127" spans="5:14" x14ac:dyDescent="0.2">
      <c r="E127" s="5">
        <f t="shared" si="11"/>
        <v>5.8499999999999872</v>
      </c>
      <c r="F127" s="5">
        <f t="shared" ca="1" si="12"/>
        <v>8.3306424382949436E-4</v>
      </c>
      <c r="G127" s="5">
        <f t="shared" ca="1" si="13"/>
        <v>4.8553367106842953E-3</v>
      </c>
      <c r="H127" s="5">
        <f t="shared" ca="1" si="14"/>
        <v>1.2276341435237559E-2</v>
      </c>
      <c r="I127" s="5">
        <f t="shared" ca="1" si="15"/>
        <v>1.8183991857322435E-2</v>
      </c>
      <c r="J127" s="5">
        <f t="shared" ca="1" si="16"/>
        <v>2.8110624409843799E-2</v>
      </c>
      <c r="K127" s="5">
        <f t="shared" si="17"/>
        <v>2.2499999999999999E-2</v>
      </c>
      <c r="M127" s="5">
        <f t="shared" ca="1" si="18"/>
        <v>0.38501673876967324</v>
      </c>
      <c r="N127" s="5">
        <f t="shared" ca="1" si="18"/>
        <v>-0.27651969843327517</v>
      </c>
    </row>
    <row r="128" spans="5:14" x14ac:dyDescent="0.2">
      <c r="E128" s="5">
        <f t="shared" si="11"/>
        <v>5.899999999999987</v>
      </c>
      <c r="F128" s="5">
        <f t="shared" ca="1" si="12"/>
        <v>3.9125963955379672E-4</v>
      </c>
      <c r="G128" s="5">
        <f t="shared" ca="1" si="13"/>
        <v>4.5653685435409338E-3</v>
      </c>
      <c r="H128" s="5">
        <f t="shared" ca="1" si="14"/>
        <v>1.2282197170254975E-2</v>
      </c>
      <c r="I128" s="5">
        <f t="shared" ca="1" si="15"/>
        <v>1.847421341703543E-2</v>
      </c>
      <c r="J128" s="5">
        <f t="shared" ca="1" si="16"/>
        <v>2.9121426544813193E-2</v>
      </c>
      <c r="K128" s="5">
        <f t="shared" si="17"/>
        <v>2.2499999999999999E-2</v>
      </c>
      <c r="M128" s="5">
        <f t="shared" ca="1" si="18"/>
        <v>9.7802949165819442E-2</v>
      </c>
      <c r="N128" s="5">
        <f t="shared" ca="1" si="18"/>
        <v>-0.86062148592554699</v>
      </c>
    </row>
    <row r="129" spans="5:14" x14ac:dyDescent="0.2">
      <c r="E129" s="5">
        <f t="shared" si="11"/>
        <v>5.9499999999999869</v>
      </c>
      <c r="F129" s="5">
        <f t="shared" ca="1" si="12"/>
        <v>-9.8721755722786788E-4</v>
      </c>
      <c r="G129" s="5">
        <f t="shared" ca="1" si="13"/>
        <v>3.4082608651011576E-3</v>
      </c>
      <c r="H129" s="5">
        <f t="shared" ca="1" si="14"/>
        <v>1.1560085553063646E-2</v>
      </c>
      <c r="I129" s="5">
        <f t="shared" ca="1" si="15"/>
        <v>1.8176022895699154E-2</v>
      </c>
      <c r="J129" s="5">
        <f t="shared" ca="1" si="16"/>
        <v>2.9882730315204078E-2</v>
      </c>
      <c r="K129" s="5">
        <f t="shared" si="17"/>
        <v>2.2499999999999999E-2</v>
      </c>
      <c r="M129" s="5">
        <f t="shared" ca="1" si="18"/>
        <v>-0.23515757171009977</v>
      </c>
      <c r="N129" s="5">
        <f t="shared" ca="1" si="18"/>
        <v>-1.2274908203938244</v>
      </c>
    </row>
    <row r="130" spans="5:14" x14ac:dyDescent="0.2">
      <c r="E130" s="5">
        <f t="shared" si="11"/>
        <v>5.9999999999999867</v>
      </c>
      <c r="F130" s="5">
        <f t="shared" ca="1" si="12"/>
        <v>-1.8034402764052241E-3</v>
      </c>
      <c r="G130" s="5">
        <f t="shared" ca="1" si="13"/>
        <v>2.5736491414510396E-3</v>
      </c>
      <c r="H130" s="5">
        <f t="shared" ca="1" si="14"/>
        <v>1.068106311966961E-2</v>
      </c>
      <c r="I130" s="5">
        <f t="shared" ca="1" si="15"/>
        <v>1.7241788576823531E-2</v>
      </c>
      <c r="J130" s="5">
        <f t="shared" ca="1" si="16"/>
        <v>2.8797667343568537E-2</v>
      </c>
      <c r="K130" s="5">
        <f t="shared" si="17"/>
        <v>2.2499999999999999E-2</v>
      </c>
      <c r="M130" s="5">
        <f t="shared" ca="1" si="18"/>
        <v>-0.59663961684655931</v>
      </c>
      <c r="N130" s="5">
        <f t="shared" ca="1" si="18"/>
        <v>3.294096716606365E-2</v>
      </c>
    </row>
    <row r="131" spans="5:14" x14ac:dyDescent="0.2">
      <c r="E131" s="5">
        <f t="shared" si="11"/>
        <v>6.0499999999999865</v>
      </c>
      <c r="F131" s="5">
        <f t="shared" ca="1" si="12"/>
        <v>4.1868607828951418E-4</v>
      </c>
      <c r="G131" s="5">
        <f t="shared" ca="1" si="13"/>
        <v>4.7184065424140768E-3</v>
      </c>
      <c r="H131" s="5">
        <f t="shared" ca="1" si="14"/>
        <v>1.2663561518017325E-2</v>
      </c>
      <c r="I131" s="5">
        <f t="shared" ca="1" si="15"/>
        <v>1.9051368836821143E-2</v>
      </c>
      <c r="J131" s="5">
        <f t="shared" ca="1" si="16"/>
        <v>3.0166694236068017E-2</v>
      </c>
      <c r="K131" s="5">
        <f t="shared" si="17"/>
        <v>2.2499999999999999E-2</v>
      </c>
      <c r="M131" s="5">
        <f t="shared" ca="1" si="18"/>
        <v>0.93804251995863197</v>
      </c>
      <c r="N131" s="5">
        <f t="shared" ca="1" si="18"/>
        <v>0.34225036694618183</v>
      </c>
    </row>
    <row r="132" spans="5:14" x14ac:dyDescent="0.2">
      <c r="E132" s="5">
        <f t="shared" si="11"/>
        <v>6.0999999999999863</v>
      </c>
      <c r="F132" s="5">
        <f t="shared" ca="1" si="12"/>
        <v>-8.6903193535214289E-4</v>
      </c>
      <c r="G132" s="5">
        <f t="shared" ca="1" si="13"/>
        <v>3.6383878271212928E-3</v>
      </c>
      <c r="H132" s="5">
        <f t="shared" ca="1" si="14"/>
        <v>1.1991529880634592E-2</v>
      </c>
      <c r="I132" s="5">
        <f t="shared" ca="1" si="15"/>
        <v>1.8776849039790822E-2</v>
      </c>
      <c r="J132" s="5">
        <f t="shared" ca="1" si="16"/>
        <v>3.0878885435280154E-2</v>
      </c>
      <c r="K132" s="5">
        <f t="shared" si="17"/>
        <v>2.2499999999999999E-2</v>
      </c>
      <c r="M132" s="5">
        <f t="shared" ca="1" si="18"/>
        <v>-0.22454206170417468</v>
      </c>
      <c r="N132" s="5">
        <f t="shared" ca="1" si="18"/>
        <v>-1.1585788845357747</v>
      </c>
    </row>
    <row r="133" spans="5:14" x14ac:dyDescent="0.2">
      <c r="E133" s="5">
        <f t="shared" si="11"/>
        <v>6.1499999999999861</v>
      </c>
      <c r="F133" s="5">
        <f t="shared" ca="1" si="12"/>
        <v>-3.1061108246041775E-3</v>
      </c>
      <c r="G133" s="5">
        <f t="shared" ca="1" si="13"/>
        <v>1.2820701073111365E-3</v>
      </c>
      <c r="H133" s="5">
        <f t="shared" ca="1" si="14"/>
        <v>9.3894316759209444E-3</v>
      </c>
      <c r="I133" s="5">
        <f t="shared" ca="1" si="15"/>
        <v>1.5918686307508596E-2</v>
      </c>
      <c r="J133" s="5">
        <f t="shared" ca="1" si="16"/>
        <v>2.7362021906593429E-2</v>
      </c>
      <c r="K133" s="5">
        <f t="shared" si="17"/>
        <v>2.2499999999999999E-2</v>
      </c>
      <c r="M133" s="5">
        <f t="shared" ca="1" si="18"/>
        <v>-1.674358252061122</v>
      </c>
      <c r="N133" s="5">
        <f t="shared" ca="1" si="18"/>
        <v>0.56057773705712322</v>
      </c>
    </row>
    <row r="134" spans="5:14" x14ac:dyDescent="0.2">
      <c r="E134" s="5">
        <f t="shared" si="11"/>
        <v>6.199999999999986</v>
      </c>
      <c r="F134" s="5">
        <f t="shared" ca="1" si="12"/>
        <v>-1.3342529464620612E-3</v>
      </c>
      <c r="G134" s="5">
        <f t="shared" ca="1" si="13"/>
        <v>2.7391280313145421E-3</v>
      </c>
      <c r="H134" s="5">
        <f t="shared" ca="1" si="14"/>
        <v>1.0209694907982417E-2</v>
      </c>
      <c r="I134" s="5">
        <f t="shared" ca="1" si="15"/>
        <v>1.6091942511254845E-2</v>
      </c>
      <c r="J134" s="5">
        <f t="shared" ca="1" si="16"/>
        <v>2.59150637157914E-2</v>
      </c>
      <c r="K134" s="5">
        <f t="shared" si="17"/>
        <v>2.2499999999999999E-2</v>
      </c>
      <c r="M134" s="5">
        <f t="shared" ca="1" si="18"/>
        <v>2.3938699642799932E-2</v>
      </c>
      <c r="N134" s="5">
        <f t="shared" ca="1" si="18"/>
        <v>1.5885300331089693</v>
      </c>
    </row>
    <row r="135" spans="5:14" x14ac:dyDescent="0.2">
      <c r="E135" s="5">
        <f t="shared" si="11"/>
        <v>6.2499999999999858</v>
      </c>
      <c r="F135" s="5">
        <f t="shared" ca="1" si="12"/>
        <v>-1.3346037760990771E-3</v>
      </c>
      <c r="G135" s="5">
        <f t="shared" ca="1" si="13"/>
        <v>2.9398327659646097E-3</v>
      </c>
      <c r="H135" s="5">
        <f t="shared" ca="1" si="14"/>
        <v>1.0805420418316031E-2</v>
      </c>
      <c r="I135" s="5">
        <f t="shared" ca="1" si="15"/>
        <v>1.7072704801070444E-2</v>
      </c>
      <c r="J135" s="5">
        <f t="shared" ca="1" si="16"/>
        <v>2.787560809056824E-2</v>
      </c>
      <c r="K135" s="5">
        <f t="shared" si="17"/>
        <v>2.2499999999999999E-2</v>
      </c>
      <c r="M135" s="5">
        <f t="shared" ca="1" si="18"/>
        <v>0.48440559862760146</v>
      </c>
      <c r="N135" s="5">
        <f t="shared" ca="1" si="18"/>
        <v>-1.1265057466613868</v>
      </c>
    </row>
    <row r="136" spans="5:14" x14ac:dyDescent="0.2">
      <c r="E136" s="5">
        <f t="shared" si="11"/>
        <v>6.2999999999999856</v>
      </c>
      <c r="F136" s="5">
        <f t="shared" ca="1" si="12"/>
        <v>9.9893136283768112E-4</v>
      </c>
      <c r="G136" s="5">
        <f t="shared" ca="1" si="13"/>
        <v>5.3851561931338877E-3</v>
      </c>
      <c r="H136" s="5">
        <f t="shared" ca="1" si="14"/>
        <v>1.346733498679922E-2</v>
      </c>
      <c r="I136" s="5">
        <f t="shared" ca="1" si="15"/>
        <v>1.9941648015933587E-2</v>
      </c>
      <c r="J136" s="5">
        <f t="shared" ca="1" si="16"/>
        <v>3.1264184122444576E-2</v>
      </c>
      <c r="K136" s="5">
        <f t="shared" si="17"/>
        <v>2.2499999999999999E-2</v>
      </c>
      <c r="M136" s="5">
        <f t="shared" ca="1" si="18"/>
        <v>1.5344536758210117</v>
      </c>
      <c r="N136" s="5">
        <f t="shared" ca="1" si="18"/>
        <v>-0.65777319454833716</v>
      </c>
    </row>
    <row r="137" spans="5:14" x14ac:dyDescent="0.2">
      <c r="E137" s="5">
        <f t="shared" si="11"/>
        <v>6.3499999999999854</v>
      </c>
      <c r="F137" s="5">
        <f t="shared" ca="1" si="12"/>
        <v>-1.2175317866855175E-3</v>
      </c>
      <c r="G137" s="5">
        <f t="shared" ca="1" si="13"/>
        <v>3.1535709432247484E-3</v>
      </c>
      <c r="H137" s="5">
        <f t="shared" ca="1" si="14"/>
        <v>1.1198630310351275E-2</v>
      </c>
      <c r="I137" s="5">
        <f t="shared" ca="1" si="15"/>
        <v>1.7626521092396867E-2</v>
      </c>
      <c r="J137" s="5">
        <f t="shared" ca="1" si="16"/>
        <v>2.8821343483972812E-2</v>
      </c>
      <c r="K137" s="5">
        <f t="shared" si="17"/>
        <v>2.2499999999999999E-2</v>
      </c>
      <c r="M137" s="5">
        <f t="shared" ca="1" si="18"/>
        <v>-1.3664344673316506</v>
      </c>
      <c r="N137" s="5">
        <f t="shared" ca="1" si="18"/>
        <v>9.0262367588049841E-3</v>
      </c>
    </row>
    <row r="138" spans="5:14" x14ac:dyDescent="0.2">
      <c r="E138" s="5">
        <f t="shared" si="11"/>
        <v>6.3999999999999853</v>
      </c>
      <c r="F138" s="5">
        <f t="shared" ca="1" si="12"/>
        <v>-3.8448263830258354E-4</v>
      </c>
      <c r="G138" s="5">
        <f t="shared" ca="1" si="13"/>
        <v>4.0400777390272122E-3</v>
      </c>
      <c r="H138" s="5">
        <f t="shared" ca="1" si="14"/>
        <v>1.2185288366000477E-2</v>
      </c>
      <c r="I138" s="5">
        <f t="shared" ca="1" si="15"/>
        <v>1.8704143576884446E-2</v>
      </c>
      <c r="J138" s="5">
        <f t="shared" ca="1" si="16"/>
        <v>3.0122394634519104E-2</v>
      </c>
      <c r="K138" s="5">
        <f t="shared" si="17"/>
        <v>2.2499999999999999E-2</v>
      </c>
      <c r="M138" s="5">
        <f t="shared" ca="1" si="18"/>
        <v>0.53088405078011025</v>
      </c>
      <c r="N138" s="5">
        <f t="shared" ca="1" si="18"/>
        <v>-0.35269920977581393</v>
      </c>
    </row>
    <row r="139" spans="5:14" x14ac:dyDescent="0.2">
      <c r="E139" s="5">
        <f t="shared" si="11"/>
        <v>6.4499999999999851</v>
      </c>
      <c r="F139" s="5">
        <f t="shared" ca="1" si="12"/>
        <v>-1.2243062835503409E-3</v>
      </c>
      <c r="G139" s="5">
        <f t="shared" ca="1" si="13"/>
        <v>3.2386766381010844E-3</v>
      </c>
      <c r="H139" s="5">
        <f t="shared" ca="1" si="14"/>
        <v>1.1454076849699693E-2</v>
      </c>
      <c r="I139" s="5">
        <f t="shared" ca="1" si="15"/>
        <v>1.8034124660915481E-2</v>
      </c>
      <c r="J139" s="5">
        <f t="shared" ca="1" si="16"/>
        <v>2.9595987458956433E-2</v>
      </c>
      <c r="K139" s="5">
        <f t="shared" si="17"/>
        <v>2.2499999999999999E-2</v>
      </c>
      <c r="M139" s="5">
        <f t="shared" ca="1" si="18"/>
        <v>-0.44732619636190485</v>
      </c>
      <c r="N139" s="5">
        <f t="shared" ca="1" si="18"/>
        <v>-0.27448417089464083</v>
      </c>
    </row>
    <row r="140" spans="5:14" x14ac:dyDescent="0.2">
      <c r="E140" s="5">
        <f t="shared" ref="E140:E203" si="19">E139+$C$9</f>
        <v>6.4999999999999849</v>
      </c>
      <c r="F140" s="5">
        <f t="shared" ref="F140:F203" ca="1" si="20">F139+F$4*$C$9+SQRT($C$9)*F$5*$M140+SQRT($C$9)*F$6*$N140+(G139-F139)/(G$9-F$9)*$C$9</f>
        <v>-3.3494468497910067E-4</v>
      </c>
      <c r="G140" s="5">
        <f t="shared" ref="G140:G203" ca="1" si="21">G139+G$4*$C$9+SQRT($C$9)*G$5*$M140+SQRT($C$9)*G$6*$N140+(H139-G139)/(H$9-G$9)*$C$9</f>
        <v>4.0853815261689009E-3</v>
      </c>
      <c r="H140" s="5">
        <f t="shared" ref="H140:H203" ca="1" si="22">H139+H$4*$C$9+SQRT($C$9)*H$5*$M140+SQRT($C$9)*H$6*$N140+(I139-H139)/(I$9-H$9)*$C$9</f>
        <v>1.2208920663336304E-2</v>
      </c>
      <c r="I140" s="5">
        <f t="shared" ref="I140:I203" ca="1" si="23">I139+I$4*$C$9+SQRT($C$9)*I$5*$M140+SQRT($C$9)*I$6*$N140+(J139-I139)/(J$9-I$9)*$C$9</f>
        <v>1.8688241642830471E-2</v>
      </c>
      <c r="J140" s="5">
        <f t="shared" ref="J140:J203" ca="1" si="24">J139+J$4*$C$9+SQRT($C$9)*J$5*$M140+SQRT($C$9)*J$6*$N140+(K139-J139)/(K$9-J$9)*$C$9</f>
        <v>2.9989031745689537E-2</v>
      </c>
      <c r="K140" s="5">
        <f t="shared" ref="K140:K203" si="25">K139</f>
        <v>2.2499999999999999E-2</v>
      </c>
      <c r="M140" s="5">
        <f t="shared" ref="M140:N203" ca="1" si="26">RAND()+RAND()+RAND()+RAND()+RAND()+RAND()+RAND()+RAND()+RAND()+RAND()+RAND()+RAND()-6</f>
        <v>0.29208545938236696</v>
      </c>
      <c r="N140" s="5">
        <f t="shared" ca="1" si="26"/>
        <v>0.15122564409037409</v>
      </c>
    </row>
    <row r="141" spans="5:14" x14ac:dyDescent="0.2">
      <c r="E141" s="5">
        <f t="shared" si="19"/>
        <v>6.5499999999999847</v>
      </c>
      <c r="F141" s="5">
        <f t="shared" ca="1" si="20"/>
        <v>-1.2077847178562904E-3</v>
      </c>
      <c r="G141" s="5">
        <f t="shared" ca="1" si="21"/>
        <v>3.1437894829691934E-3</v>
      </c>
      <c r="H141" s="5">
        <f t="shared" ca="1" si="22"/>
        <v>1.1123382684806159E-2</v>
      </c>
      <c r="I141" s="5">
        <f t="shared" ca="1" si="23"/>
        <v>1.7450021059452953E-2</v>
      </c>
      <c r="J141" s="5">
        <f t="shared" ca="1" si="24"/>
        <v>2.8361708540947689E-2</v>
      </c>
      <c r="K141" s="5">
        <f t="shared" si="25"/>
        <v>2.2499999999999999E-2</v>
      </c>
      <c r="M141" s="5">
        <f t="shared" ca="1" si="26"/>
        <v>-0.76430395797651585</v>
      </c>
      <c r="N141" s="5">
        <f t="shared" ca="1" si="26"/>
        <v>0.28766056017268937</v>
      </c>
    </row>
    <row r="142" spans="5:14" x14ac:dyDescent="0.2">
      <c r="E142" s="5">
        <f t="shared" si="19"/>
        <v>6.5999999999999845</v>
      </c>
      <c r="F142" s="5">
        <f t="shared" ca="1" si="20"/>
        <v>3.5972690430588657E-4</v>
      </c>
      <c r="G142" s="5">
        <f t="shared" ca="1" si="21"/>
        <v>4.9650133420355699E-3</v>
      </c>
      <c r="H142" s="5">
        <f t="shared" ca="1" si="22"/>
        <v>1.3445692781991881E-2</v>
      </c>
      <c r="I142" s="5">
        <f t="shared" ca="1" si="23"/>
        <v>2.0264825180886556E-2</v>
      </c>
      <c r="J142" s="5">
        <f t="shared" ca="1" si="24"/>
        <v>3.2408495850711733E-2</v>
      </c>
      <c r="K142" s="5">
        <f t="shared" si="25"/>
        <v>2.2499999999999999E-2</v>
      </c>
      <c r="M142" s="5">
        <f t="shared" ca="1" si="26"/>
        <v>1.5035808804133879</v>
      </c>
      <c r="N142" s="5">
        <f t="shared" ca="1" si="26"/>
        <v>-1.4097796541585712</v>
      </c>
    </row>
    <row r="143" spans="5:14" x14ac:dyDescent="0.2">
      <c r="E143" s="5">
        <f t="shared" si="19"/>
        <v>6.6499999999999844</v>
      </c>
      <c r="F143" s="5">
        <f t="shared" ca="1" si="20"/>
        <v>1.4434498757705068E-4</v>
      </c>
      <c r="G143" s="5">
        <f t="shared" ca="1" si="21"/>
        <v>4.6258385697662162E-3</v>
      </c>
      <c r="H143" s="5">
        <f t="shared" ca="1" si="22"/>
        <v>1.2852696169390103E-2</v>
      </c>
      <c r="I143" s="5">
        <f t="shared" ca="1" si="23"/>
        <v>1.9409636800704774E-2</v>
      </c>
      <c r="J143" s="5">
        <f t="shared" ca="1" si="24"/>
        <v>3.087612067594021E-2</v>
      </c>
      <c r="K143" s="5">
        <f t="shared" si="25"/>
        <v>2.2499999999999999E-2</v>
      </c>
      <c r="M143" s="5">
        <f t="shared" ca="1" si="26"/>
        <v>-0.5548942926088456</v>
      </c>
      <c r="N143" s="5">
        <f t="shared" ca="1" si="26"/>
        <v>0.57556794681149892</v>
      </c>
    </row>
    <row r="144" spans="5:14" x14ac:dyDescent="0.2">
      <c r="E144" s="5">
        <f t="shared" si="19"/>
        <v>6.6999999999999842</v>
      </c>
      <c r="F144" s="5">
        <f t="shared" ca="1" si="20"/>
        <v>8.7381383528880446E-4</v>
      </c>
      <c r="G144" s="5">
        <f t="shared" ca="1" si="21"/>
        <v>5.612851429848271E-3</v>
      </c>
      <c r="H144" s="5">
        <f t="shared" ca="1" si="22"/>
        <v>1.4348663483242749E-2</v>
      </c>
      <c r="I144" s="5">
        <f t="shared" ca="1" si="23"/>
        <v>2.140618081550523E-2</v>
      </c>
      <c r="J144" s="5">
        <f t="shared" ca="1" si="24"/>
        <v>3.411354455774427E-2</v>
      </c>
      <c r="K144" s="5">
        <f t="shared" si="25"/>
        <v>2.2499999999999999E-2</v>
      </c>
      <c r="M144" s="5">
        <f t="shared" ca="1" si="26"/>
        <v>1.0430581688612142</v>
      </c>
      <c r="N144" s="5">
        <f t="shared" ca="1" si="26"/>
        <v>-1.4315938630673575</v>
      </c>
    </row>
    <row r="145" spans="5:14" x14ac:dyDescent="0.2">
      <c r="E145" s="5">
        <f t="shared" si="19"/>
        <v>6.749999999999984</v>
      </c>
      <c r="F145" s="5">
        <f t="shared" ca="1" si="20"/>
        <v>-9.4012777217654679E-4</v>
      </c>
      <c r="G145" s="5">
        <f t="shared" ca="1" si="21"/>
        <v>3.6155290763064461E-3</v>
      </c>
      <c r="H145" s="5">
        <f t="shared" ca="1" si="22"/>
        <v>1.1978543301305898E-2</v>
      </c>
      <c r="I145" s="5">
        <f t="shared" ca="1" si="23"/>
        <v>1.865498887731748E-2</v>
      </c>
      <c r="J145" s="5">
        <f t="shared" ca="1" si="24"/>
        <v>3.0378873032322957E-2</v>
      </c>
      <c r="K145" s="5">
        <f t="shared" si="25"/>
        <v>2.2499999999999999E-2</v>
      </c>
      <c r="M145" s="5">
        <f t="shared" ca="1" si="26"/>
        <v>-1.6179436430004568</v>
      </c>
      <c r="N145" s="5">
        <f t="shared" ca="1" si="26"/>
        <v>0.88745285648280436</v>
      </c>
    </row>
    <row r="146" spans="5:14" x14ac:dyDescent="0.2">
      <c r="E146" s="5">
        <f t="shared" si="19"/>
        <v>6.7999999999999838</v>
      </c>
      <c r="F146" s="5">
        <f t="shared" ca="1" si="20"/>
        <v>-3.2365828300330959E-4</v>
      </c>
      <c r="G146" s="5">
        <f t="shared" ca="1" si="21"/>
        <v>4.2602499573619473E-3</v>
      </c>
      <c r="H146" s="5">
        <f t="shared" ca="1" si="22"/>
        <v>1.2673825598499559E-2</v>
      </c>
      <c r="I146" s="5">
        <f t="shared" ca="1" si="23"/>
        <v>1.9392457509023759E-2</v>
      </c>
      <c r="J146" s="5">
        <f t="shared" ca="1" si="24"/>
        <v>3.1210948783305516E-2</v>
      </c>
      <c r="K146" s="5">
        <f t="shared" si="25"/>
        <v>2.2499999999999999E-2</v>
      </c>
      <c r="M146" s="5">
        <f t="shared" ca="1" si="26"/>
        <v>0.33777472120493801</v>
      </c>
      <c r="N146" s="5">
        <f t="shared" ca="1" si="26"/>
        <v>-0.22680899799639764</v>
      </c>
    </row>
    <row r="147" spans="5:14" x14ac:dyDescent="0.2">
      <c r="E147" s="5">
        <f t="shared" si="19"/>
        <v>6.8499999999999837</v>
      </c>
      <c r="F147" s="5">
        <f t="shared" ca="1" si="20"/>
        <v>-5.5378794160801208E-3</v>
      </c>
      <c r="G147" s="5">
        <f t="shared" ca="1" si="21"/>
        <v>-7.0258510377121074E-4</v>
      </c>
      <c r="H147" s="5">
        <f t="shared" ca="1" si="22"/>
        <v>8.2079090049680184E-3</v>
      </c>
      <c r="I147" s="5">
        <f t="shared" ca="1" si="23"/>
        <v>1.5415185091338881E-2</v>
      </c>
      <c r="J147" s="5">
        <f t="shared" ca="1" si="24"/>
        <v>2.8441673295586941E-2</v>
      </c>
      <c r="K147" s="5">
        <f t="shared" si="25"/>
        <v>2.2499999999999999E-2</v>
      </c>
      <c r="M147" s="5">
        <f t="shared" ca="1" si="26"/>
        <v>-2.2983745193565341</v>
      </c>
      <c r="N147" s="5">
        <f t="shared" ca="1" si="26"/>
        <v>-1.4015771045898822</v>
      </c>
    </row>
    <row r="148" spans="5:14" x14ac:dyDescent="0.2">
      <c r="E148" s="5">
        <f t="shared" si="19"/>
        <v>6.8999999999999835</v>
      </c>
      <c r="F148" s="5">
        <f t="shared" ca="1" si="20"/>
        <v>-5.0588204920180031E-3</v>
      </c>
      <c r="G148" s="5">
        <f t="shared" ca="1" si="21"/>
        <v>3.9006723289818703E-5</v>
      </c>
      <c r="H148" s="5">
        <f t="shared" ca="1" si="22"/>
        <v>9.4687987882615936E-3</v>
      </c>
      <c r="I148" s="5">
        <f t="shared" ca="1" si="23"/>
        <v>1.7187169261307419E-2</v>
      </c>
      <c r="J148" s="5">
        <f t="shared" ca="1" si="24"/>
        <v>3.1472963479753417E-2</v>
      </c>
      <c r="K148" s="5">
        <f t="shared" si="25"/>
        <v>2.2499999999999999E-2</v>
      </c>
      <c r="M148" s="5">
        <f t="shared" ca="1" si="26"/>
        <v>0.90880471003380414</v>
      </c>
      <c r="N148" s="5">
        <f t="shared" ca="1" si="26"/>
        <v>-1.4609942867677432</v>
      </c>
    </row>
    <row r="149" spans="5:14" x14ac:dyDescent="0.2">
      <c r="E149" s="5">
        <f t="shared" si="19"/>
        <v>6.9499999999999833</v>
      </c>
      <c r="F149" s="5">
        <f t="shared" ca="1" si="20"/>
        <v>-6.9974427219847346E-3</v>
      </c>
      <c r="G149" s="5">
        <f t="shared" ca="1" si="21"/>
        <v>-1.944508996486399E-3</v>
      </c>
      <c r="H149" s="5">
        <f t="shared" ca="1" si="22"/>
        <v>7.3898115423504489E-3</v>
      </c>
      <c r="I149" s="5">
        <f t="shared" ca="1" si="23"/>
        <v>1.5004527709417809E-2</v>
      </c>
      <c r="J149" s="5">
        <f t="shared" ca="1" si="24"/>
        <v>2.8993045673638015E-2</v>
      </c>
      <c r="K149" s="5">
        <f t="shared" si="25"/>
        <v>2.2499999999999999E-2</v>
      </c>
      <c r="M149" s="5">
        <f t="shared" ca="1" si="26"/>
        <v>-1.3089380095077461</v>
      </c>
      <c r="N149" s="5">
        <f t="shared" ca="1" si="26"/>
        <v>0.1557207245102612</v>
      </c>
    </row>
    <row r="150" spans="5:14" x14ac:dyDescent="0.2">
      <c r="E150" s="5">
        <f t="shared" si="19"/>
        <v>6.9999999999999831</v>
      </c>
      <c r="F150" s="5">
        <f t="shared" ca="1" si="20"/>
        <v>-3.48770070938131E-3</v>
      </c>
      <c r="G150" s="5">
        <f t="shared" ca="1" si="21"/>
        <v>1.3641638870260618E-3</v>
      </c>
      <c r="H150" s="5">
        <f t="shared" ca="1" si="22"/>
        <v>1.0290741278994734E-2</v>
      </c>
      <c r="I150" s="5">
        <f t="shared" ca="1" si="23"/>
        <v>1.7489354683953677E-2</v>
      </c>
      <c r="J150" s="5">
        <f t="shared" ca="1" si="24"/>
        <v>3.040960132291274E-2</v>
      </c>
      <c r="K150" s="5">
        <f t="shared" si="25"/>
        <v>2.2499999999999999E-2</v>
      </c>
      <c r="M150" s="5">
        <f t="shared" ca="1" si="26"/>
        <v>1.3019180422556511</v>
      </c>
      <c r="N150" s="5">
        <f t="shared" ca="1" si="26"/>
        <v>0.97666559522108276</v>
      </c>
    </row>
    <row r="151" spans="5:14" x14ac:dyDescent="0.2">
      <c r="E151" s="5">
        <f t="shared" si="19"/>
        <v>7.0499999999999829</v>
      </c>
      <c r="F151" s="5">
        <f t="shared" ca="1" si="20"/>
        <v>-6.9156568485186989E-3</v>
      </c>
      <c r="G151" s="5">
        <f t="shared" ca="1" si="21"/>
        <v>-1.6388650404158096E-3</v>
      </c>
      <c r="H151" s="5">
        <f t="shared" ca="1" si="22"/>
        <v>8.1320331403109593E-3</v>
      </c>
      <c r="I151" s="5">
        <f t="shared" ca="1" si="23"/>
        <v>1.6166536564968859E-2</v>
      </c>
      <c r="J151" s="5">
        <f t="shared" ca="1" si="24"/>
        <v>3.1156335517814396E-2</v>
      </c>
      <c r="K151" s="5">
        <f t="shared" si="25"/>
        <v>2.2499999999999999E-2</v>
      </c>
      <c r="M151" s="5">
        <f t="shared" ca="1" si="26"/>
        <v>-0.82064845531655362</v>
      </c>
      <c r="N151" s="5">
        <f t="shared" ca="1" si="26"/>
        <v>-2.3176489799963709</v>
      </c>
    </row>
    <row r="152" spans="5:14" x14ac:dyDescent="0.2">
      <c r="E152" s="5">
        <f t="shared" si="19"/>
        <v>7.0999999999999828</v>
      </c>
      <c r="F152" s="5">
        <f t="shared" ca="1" si="20"/>
        <v>-6.313212942055153E-3</v>
      </c>
      <c r="G152" s="5">
        <f t="shared" ca="1" si="21"/>
        <v>-8.4933832685195961E-4</v>
      </c>
      <c r="H152" s="5">
        <f t="shared" ca="1" si="22"/>
        <v>9.2902577459476471E-3</v>
      </c>
      <c r="I152" s="5">
        <f t="shared" ca="1" si="23"/>
        <v>1.768503733549211E-2</v>
      </c>
      <c r="J152" s="5">
        <f t="shared" ca="1" si="24"/>
        <v>3.3533295924951058E-2</v>
      </c>
      <c r="K152" s="5">
        <f t="shared" si="25"/>
        <v>2.2499999999999999E-2</v>
      </c>
      <c r="M152" s="5">
        <f t="shared" ca="1" si="26"/>
        <v>0.75612794121490801</v>
      </c>
      <c r="N152" s="5">
        <f t="shared" ca="1" si="26"/>
        <v>-1.0669974102015169</v>
      </c>
    </row>
    <row r="153" spans="5:14" x14ac:dyDescent="0.2">
      <c r="E153" s="5">
        <f t="shared" si="19"/>
        <v>7.1499999999999826</v>
      </c>
      <c r="F153" s="5">
        <f t="shared" ca="1" si="20"/>
        <v>-5.1824962781636865E-3</v>
      </c>
      <c r="G153" s="5">
        <f t="shared" ca="1" si="21"/>
        <v>2.6001289835553883E-4</v>
      </c>
      <c r="H153" s="5">
        <f t="shared" ca="1" si="22"/>
        <v>1.0351473214586172E-2</v>
      </c>
      <c r="I153" s="5">
        <f t="shared" ca="1" si="23"/>
        <v>1.8689483555799011E-2</v>
      </c>
      <c r="J153" s="5">
        <f t="shared" ca="1" si="24"/>
        <v>3.4340117020832006E-2</v>
      </c>
      <c r="K153" s="5">
        <f t="shared" si="25"/>
        <v>2.2499999999999999E-2</v>
      </c>
      <c r="M153" s="5">
        <f t="shared" ca="1" si="26"/>
        <v>0.46396377634968022</v>
      </c>
      <c r="N153" s="5">
        <f t="shared" ca="1" si="26"/>
        <v>2.8999748399005654E-2</v>
      </c>
    </row>
    <row r="154" spans="5:14" x14ac:dyDescent="0.2">
      <c r="E154" s="5">
        <f t="shared" si="19"/>
        <v>7.1999999999999824</v>
      </c>
      <c r="F154" s="5">
        <f t="shared" ca="1" si="20"/>
        <v>-6.5527021920600715E-3</v>
      </c>
      <c r="G154" s="5">
        <f t="shared" ca="1" si="21"/>
        <v>-1.0365236792763328E-3</v>
      </c>
      <c r="H154" s="5">
        <f t="shared" ca="1" si="22"/>
        <v>9.1969248369482733E-3</v>
      </c>
      <c r="I154" s="5">
        <f t="shared" ca="1" si="23"/>
        <v>1.7667948703650536E-2</v>
      </c>
      <c r="J154" s="5">
        <f t="shared" ca="1" si="24"/>
        <v>3.3596765727404672E-2</v>
      </c>
      <c r="K154" s="5">
        <f t="shared" si="25"/>
        <v>2.2499999999999999E-2</v>
      </c>
      <c r="M154" s="5">
        <f t="shared" ca="1" si="26"/>
        <v>-0.66748931540416123</v>
      </c>
      <c r="N154" s="5">
        <f t="shared" ca="1" si="26"/>
        <v>-0.47172109617461899</v>
      </c>
    </row>
    <row r="155" spans="5:14" x14ac:dyDescent="0.2">
      <c r="E155" s="5">
        <f t="shared" si="19"/>
        <v>7.2499999999999822</v>
      </c>
      <c r="F155" s="5">
        <f t="shared" ca="1" si="20"/>
        <v>-3.0461827779407636E-3</v>
      </c>
      <c r="G155" s="5">
        <f t="shared" ca="1" si="21"/>
        <v>2.2692818806509876E-3</v>
      </c>
      <c r="H155" s="5">
        <f t="shared" ca="1" si="22"/>
        <v>1.2095995372720703E-2</v>
      </c>
      <c r="I155" s="5">
        <f t="shared" ca="1" si="23"/>
        <v>2.0150990405076116E-2</v>
      </c>
      <c r="J155" s="5">
        <f t="shared" ca="1" si="24"/>
        <v>3.4985820386982114E-2</v>
      </c>
      <c r="K155" s="5">
        <f t="shared" si="25"/>
        <v>2.2499999999999999E-2</v>
      </c>
      <c r="M155" s="5">
        <f t="shared" ca="1" si="26"/>
        <v>1.2900734427629104</v>
      </c>
      <c r="N155" s="5">
        <f t="shared" ca="1" si="26"/>
        <v>0.97119741026421647</v>
      </c>
    </row>
    <row r="156" spans="5:14" x14ac:dyDescent="0.2">
      <c r="E156" s="5">
        <f t="shared" si="19"/>
        <v>7.2999999999999821</v>
      </c>
      <c r="F156" s="5">
        <f t="shared" ca="1" si="20"/>
        <v>-3.8372895044305666E-3</v>
      </c>
      <c r="G156" s="5">
        <f t="shared" ca="1" si="21"/>
        <v>1.4631232448192113E-3</v>
      </c>
      <c r="H156" s="5">
        <f t="shared" ca="1" si="22"/>
        <v>1.1254458622967811E-2</v>
      </c>
      <c r="I156" s="5">
        <f t="shared" ca="1" si="23"/>
        <v>1.926447492690514E-2</v>
      </c>
      <c r="J156" s="5">
        <f t="shared" ca="1" si="24"/>
        <v>3.394175823945398E-2</v>
      </c>
      <c r="K156" s="5">
        <f t="shared" si="25"/>
        <v>2.2499999999999999E-2</v>
      </c>
      <c r="M156" s="5">
        <f t="shared" ca="1" si="26"/>
        <v>-0.58745071066949173</v>
      </c>
      <c r="N156" s="5">
        <f t="shared" ca="1" si="26"/>
        <v>-6.3306308898862795E-3</v>
      </c>
    </row>
    <row r="157" spans="5:14" x14ac:dyDescent="0.2">
      <c r="E157" s="5">
        <f t="shared" si="19"/>
        <v>7.3499999999999819</v>
      </c>
      <c r="F157" s="5">
        <f t="shared" ca="1" si="20"/>
        <v>-3.4743631474388552E-3</v>
      </c>
      <c r="G157" s="5">
        <f t="shared" ca="1" si="21"/>
        <v>1.6602292646289373E-3</v>
      </c>
      <c r="H157" s="5">
        <f t="shared" ca="1" si="22"/>
        <v>1.1114673372575833E-2</v>
      </c>
      <c r="I157" s="5">
        <f t="shared" ca="1" si="23"/>
        <v>1.8777986808693792E-2</v>
      </c>
      <c r="J157" s="5">
        <f t="shared" ca="1" si="24"/>
        <v>3.2548726221652453E-2</v>
      </c>
      <c r="K157" s="5">
        <f t="shared" si="25"/>
        <v>2.2499999999999999E-2</v>
      </c>
      <c r="M157" s="5">
        <f t="shared" ca="1" si="26"/>
        <v>-0.36294790558133538</v>
      </c>
      <c r="N157" s="5">
        <f t="shared" ca="1" si="26"/>
        <v>0.78621904309586377</v>
      </c>
    </row>
    <row r="158" spans="5:14" x14ac:dyDescent="0.2">
      <c r="E158" s="5">
        <f t="shared" si="19"/>
        <v>7.3999999999999817</v>
      </c>
      <c r="F158" s="5">
        <f t="shared" ca="1" si="20"/>
        <v>-1.760147533251097E-3</v>
      </c>
      <c r="G158" s="5">
        <f t="shared" ca="1" si="21"/>
        <v>3.178945254606646E-3</v>
      </c>
      <c r="H158" s="5">
        <f t="shared" ca="1" si="22"/>
        <v>1.2237156758147152E-2</v>
      </c>
      <c r="I158" s="5">
        <f t="shared" ca="1" si="23"/>
        <v>1.9494273414881084E-2</v>
      </c>
      <c r="J158" s="5">
        <f t="shared" ca="1" si="24"/>
        <v>3.2223276836629358E-2</v>
      </c>
      <c r="K158" s="5">
        <f t="shared" si="25"/>
        <v>2.2499999999999999E-2</v>
      </c>
      <c r="M158" s="5">
        <f t="shared" ca="1" si="26"/>
        <v>0.31449134022232439</v>
      </c>
      <c r="N158" s="5">
        <f t="shared" ca="1" si="26"/>
        <v>0.94168112800902293</v>
      </c>
    </row>
    <row r="159" spans="5:14" x14ac:dyDescent="0.2">
      <c r="E159" s="5">
        <f t="shared" si="19"/>
        <v>7.4499999999999815</v>
      </c>
      <c r="F159" s="5">
        <f t="shared" ca="1" si="20"/>
        <v>8.1109717532294647E-4</v>
      </c>
      <c r="G159" s="5">
        <f t="shared" ca="1" si="21"/>
        <v>5.8105015723782039E-3</v>
      </c>
      <c r="H159" s="5">
        <f t="shared" ca="1" si="22"/>
        <v>1.4984115501752323E-2</v>
      </c>
      <c r="I159" s="5">
        <f t="shared" ca="1" si="23"/>
        <v>2.2346657073289165E-2</v>
      </c>
      <c r="J159" s="5">
        <f t="shared" ca="1" si="24"/>
        <v>3.5324865823737832E-2</v>
      </c>
      <c r="K159" s="5">
        <f t="shared" si="25"/>
        <v>2.2499999999999999E-2</v>
      </c>
      <c r="M159" s="5">
        <f t="shared" ca="1" si="26"/>
        <v>1.5144293752753635</v>
      </c>
      <c r="N159" s="5">
        <f t="shared" ca="1" si="26"/>
        <v>-0.40491619152221148</v>
      </c>
    </row>
    <row r="160" spans="5:14" x14ac:dyDescent="0.2">
      <c r="E160" s="5">
        <f t="shared" si="19"/>
        <v>7.4999999999999813</v>
      </c>
      <c r="F160" s="5">
        <f t="shared" ca="1" si="20"/>
        <v>3.3723536054978231E-3</v>
      </c>
      <c r="G160" s="5">
        <f t="shared" ca="1" si="21"/>
        <v>8.2852424462049809E-3</v>
      </c>
      <c r="H160" s="5">
        <f t="shared" ca="1" si="22"/>
        <v>1.728061607217379E-2</v>
      </c>
      <c r="I160" s="5">
        <f t="shared" ca="1" si="23"/>
        <v>2.4455045697467318E-2</v>
      </c>
      <c r="J160" s="5">
        <f t="shared" ca="1" si="24"/>
        <v>3.6938730522203707E-2</v>
      </c>
      <c r="K160" s="5">
        <f t="shared" si="25"/>
        <v>2.2499999999999999E-2</v>
      </c>
      <c r="M160" s="5">
        <f t="shared" ca="1" si="26"/>
        <v>1.0971304072719388</v>
      </c>
      <c r="N160" s="5">
        <f t="shared" ca="1" si="26"/>
        <v>0.36690421301193776</v>
      </c>
    </row>
    <row r="161" spans="5:14" x14ac:dyDescent="0.2">
      <c r="E161" s="5">
        <f t="shared" si="19"/>
        <v>7.5499999999999812</v>
      </c>
      <c r="F161" s="5">
        <f t="shared" ca="1" si="20"/>
        <v>1.8711370175145548E-3</v>
      </c>
      <c r="G161" s="5">
        <f t="shared" ca="1" si="21"/>
        <v>6.6836841814943175E-3</v>
      </c>
      <c r="H161" s="5">
        <f t="shared" ca="1" si="22"/>
        <v>1.5473178931763731E-2</v>
      </c>
      <c r="I161" s="5">
        <f t="shared" ca="1" si="23"/>
        <v>2.2431862388989768E-2</v>
      </c>
      <c r="J161" s="5">
        <f t="shared" ca="1" si="24"/>
        <v>3.435345441246699E-2</v>
      </c>
      <c r="K161" s="5">
        <f t="shared" si="25"/>
        <v>2.2499999999999999E-2</v>
      </c>
      <c r="M161" s="5">
        <f t="shared" ca="1" si="26"/>
        <v>-1.2097240437791648</v>
      </c>
      <c r="N161" s="5">
        <f t="shared" ca="1" si="26"/>
        <v>0.43896290105868729</v>
      </c>
    </row>
    <row r="162" spans="5:14" x14ac:dyDescent="0.2">
      <c r="E162" s="5">
        <f t="shared" si="19"/>
        <v>7.599999999999981</v>
      </c>
      <c r="F162" s="5">
        <f t="shared" ca="1" si="20"/>
        <v>6.0930719933386887E-4</v>
      </c>
      <c r="G162" s="5">
        <f t="shared" ca="1" si="21"/>
        <v>5.7684037568198447E-3</v>
      </c>
      <c r="H162" s="5">
        <f t="shared" ca="1" si="22"/>
        <v>1.5245814865660103E-2</v>
      </c>
      <c r="I162" s="5">
        <f t="shared" ca="1" si="23"/>
        <v>2.2882566797587191E-2</v>
      </c>
      <c r="J162" s="5">
        <f t="shared" ca="1" si="24"/>
        <v>3.6489254929540797E-2</v>
      </c>
      <c r="K162" s="5">
        <f t="shared" si="25"/>
        <v>2.2499999999999999E-2</v>
      </c>
      <c r="M162" s="5">
        <f t="shared" ca="1" si="26"/>
        <v>0.17636342652438586</v>
      </c>
      <c r="N162" s="5">
        <f t="shared" ca="1" si="26"/>
        <v>-1.9129647462422996</v>
      </c>
    </row>
    <row r="163" spans="5:14" x14ac:dyDescent="0.2">
      <c r="E163" s="5">
        <f t="shared" si="19"/>
        <v>7.6499999999999808</v>
      </c>
      <c r="F163" s="5">
        <f t="shared" ca="1" si="20"/>
        <v>1.8342998120534325E-3</v>
      </c>
      <c r="G163" s="5">
        <f t="shared" ca="1" si="21"/>
        <v>7.0198022298465432E-3</v>
      </c>
      <c r="H163" s="5">
        <f t="shared" ca="1" si="22"/>
        <v>1.6544855555184822E-2</v>
      </c>
      <c r="I163" s="5">
        <f t="shared" ca="1" si="23"/>
        <v>2.4219547266054124E-2</v>
      </c>
      <c r="J163" s="5">
        <f t="shared" ca="1" si="24"/>
        <v>3.788907118166647E-2</v>
      </c>
      <c r="K163" s="5">
        <f t="shared" si="25"/>
        <v>2.2499999999999999E-2</v>
      </c>
      <c r="M163" s="5">
        <f t="shared" ca="1" si="26"/>
        <v>0.6623868320811761</v>
      </c>
      <c r="N163" s="5">
        <f t="shared" ca="1" si="26"/>
        <v>-0.22926357863523616</v>
      </c>
    </row>
    <row r="164" spans="5:14" x14ac:dyDescent="0.2">
      <c r="E164" s="5">
        <f t="shared" si="19"/>
        <v>7.6999999999999806</v>
      </c>
      <c r="F164" s="5">
        <f t="shared" ca="1" si="20"/>
        <v>6.6737109318515987E-3</v>
      </c>
      <c r="G164" s="5">
        <f t="shared" ca="1" si="21"/>
        <v>1.1805046215247717E-2</v>
      </c>
      <c r="H164" s="5">
        <f t="shared" ca="1" si="22"/>
        <v>2.1216611681942686E-2</v>
      </c>
      <c r="I164" s="5">
        <f t="shared" ca="1" si="23"/>
        <v>2.8768035520914791E-2</v>
      </c>
      <c r="J164" s="5">
        <f t="shared" ca="1" si="24"/>
        <v>4.2094048536212882E-2</v>
      </c>
      <c r="K164" s="5">
        <f t="shared" si="25"/>
        <v>2.2499999999999999E-2</v>
      </c>
      <c r="M164" s="5">
        <f t="shared" ca="1" si="26"/>
        <v>2.4573229995335399</v>
      </c>
      <c r="N164" s="5">
        <f t="shared" ca="1" si="26"/>
        <v>0.19397809017372758</v>
      </c>
    </row>
    <row r="165" spans="5:14" x14ac:dyDescent="0.2">
      <c r="E165" s="5">
        <f t="shared" si="19"/>
        <v>7.7499999999999805</v>
      </c>
      <c r="F165" s="5">
        <f t="shared" ca="1" si="20"/>
        <v>6.9173556285597772E-3</v>
      </c>
      <c r="G165" s="5">
        <f t="shared" ca="1" si="21"/>
        <v>1.2113042835804803E-2</v>
      </c>
      <c r="H165" s="5">
        <f t="shared" ca="1" si="22"/>
        <v>2.1648171739509378E-2</v>
      </c>
      <c r="I165" s="5">
        <f t="shared" ca="1" si="23"/>
        <v>2.9313270090362838E-2</v>
      </c>
      <c r="J165" s="5">
        <f t="shared" ca="1" si="24"/>
        <v>4.2881934360924114E-2</v>
      </c>
      <c r="K165" s="5">
        <f t="shared" si="25"/>
        <v>2.2499999999999999E-2</v>
      </c>
      <c r="M165" s="5">
        <f t="shared" ca="1" si="26"/>
        <v>0.22135644090403339</v>
      </c>
      <c r="N165" s="5">
        <f t="shared" ca="1" si="26"/>
        <v>-0.43026841640949254</v>
      </c>
    </row>
    <row r="166" spans="5:14" x14ac:dyDescent="0.2">
      <c r="E166" s="5">
        <f t="shared" si="19"/>
        <v>7.7999999999999803</v>
      </c>
      <c r="F166" s="5">
        <f t="shared" ca="1" si="20"/>
        <v>5.5664988752111245E-3</v>
      </c>
      <c r="G166" s="5">
        <f t="shared" ca="1" si="21"/>
        <v>1.099677512860681E-2</v>
      </c>
      <c r="H166" s="5">
        <f t="shared" ca="1" si="22"/>
        <v>2.0995951511330702E-2</v>
      </c>
      <c r="I166" s="5">
        <f t="shared" ca="1" si="23"/>
        <v>2.9115040288959029E-2</v>
      </c>
      <c r="J166" s="5">
        <f t="shared" ca="1" si="24"/>
        <v>4.3773787750513861E-2</v>
      </c>
      <c r="K166" s="5">
        <f t="shared" si="25"/>
        <v>2.2499999999999999E-2</v>
      </c>
      <c r="M166" s="5">
        <f t="shared" ca="1" si="26"/>
        <v>-0.19560923886841763</v>
      </c>
      <c r="N166" s="5">
        <f t="shared" ca="1" si="26"/>
        <v>-1.3266193233599433</v>
      </c>
    </row>
    <row r="167" spans="5:14" x14ac:dyDescent="0.2">
      <c r="E167" s="5">
        <f t="shared" si="19"/>
        <v>7.8499999999999801</v>
      </c>
      <c r="F167" s="5">
        <f t="shared" ca="1" si="20"/>
        <v>5.3818661239196149E-3</v>
      </c>
      <c r="G167" s="5">
        <f t="shared" ca="1" si="21"/>
        <v>1.0723070272504673E-2</v>
      </c>
      <c r="H167" s="5">
        <f t="shared" ca="1" si="22"/>
        <v>2.0538976936683301E-2</v>
      </c>
      <c r="I167" s="5">
        <f t="shared" ca="1" si="23"/>
        <v>2.8464541441068584E-2</v>
      </c>
      <c r="J167" s="5">
        <f t="shared" ca="1" si="24"/>
        <v>4.2582577200086881E-2</v>
      </c>
      <c r="K167" s="5">
        <f t="shared" si="25"/>
        <v>2.2499999999999999E-2</v>
      </c>
      <c r="M167" s="5">
        <f t="shared" ca="1" si="26"/>
        <v>-0.45452907217467864</v>
      </c>
      <c r="N167" s="5">
        <f t="shared" ca="1" si="26"/>
        <v>0.37559603010743814</v>
      </c>
    </row>
    <row r="168" spans="5:14" x14ac:dyDescent="0.2">
      <c r="E168" s="5">
        <f t="shared" si="19"/>
        <v>7.8999999999999799</v>
      </c>
      <c r="F168" s="5">
        <f t="shared" ca="1" si="20"/>
        <v>3.9041107184792424E-3</v>
      </c>
      <c r="G168" s="5">
        <f t="shared" ca="1" si="21"/>
        <v>9.2143746756375485E-3</v>
      </c>
      <c r="H168" s="5">
        <f t="shared" ca="1" si="22"/>
        <v>1.8963275359617421E-2</v>
      </c>
      <c r="I168" s="5">
        <f t="shared" ca="1" si="23"/>
        <v>2.6811266682779319E-2</v>
      </c>
      <c r="J168" s="5">
        <f t="shared" ca="1" si="24"/>
        <v>4.0688276138197393E-2</v>
      </c>
      <c r="K168" s="5">
        <f t="shared" si="25"/>
        <v>2.2499999999999999E-2</v>
      </c>
      <c r="M168" s="5">
        <f t="shared" ca="1" si="26"/>
        <v>-1.0120751773296748</v>
      </c>
      <c r="N168" s="5">
        <f t="shared" ca="1" si="26"/>
        <v>6.9070301524357447E-2</v>
      </c>
    </row>
    <row r="169" spans="5:14" x14ac:dyDescent="0.2">
      <c r="E169" s="5">
        <f t="shared" si="19"/>
        <v>7.9499999999999797</v>
      </c>
      <c r="F169" s="5">
        <f t="shared" ca="1" si="20"/>
        <v>6.0103075472581818E-3</v>
      </c>
      <c r="G169" s="5">
        <f t="shared" ca="1" si="21"/>
        <v>1.1189893767900871E-2</v>
      </c>
      <c r="H169" s="5">
        <f t="shared" ca="1" si="22"/>
        <v>2.0672305481345899E-2</v>
      </c>
      <c r="I169" s="5">
        <f t="shared" ca="1" si="23"/>
        <v>2.824303387946853E-2</v>
      </c>
      <c r="J169" s="5">
        <f t="shared" ca="1" si="24"/>
        <v>4.1388116021200932E-2</v>
      </c>
      <c r="K169" s="5">
        <f t="shared" si="25"/>
        <v>2.2499999999999999E-2</v>
      </c>
      <c r="M169" s="5">
        <f t="shared" ca="1" si="26"/>
        <v>0.71386308186104319</v>
      </c>
      <c r="N169" s="5">
        <f t="shared" ca="1" si="26"/>
        <v>0.59314889240770352</v>
      </c>
    </row>
    <row r="170" spans="5:14" x14ac:dyDescent="0.2">
      <c r="E170" s="5">
        <f t="shared" si="19"/>
        <v>7.9999999999999796</v>
      </c>
      <c r="F170" s="5">
        <f t="shared" ca="1" si="20"/>
        <v>6.2696674428092238E-3</v>
      </c>
      <c r="G170" s="5">
        <f t="shared" ca="1" si="21"/>
        <v>1.1587773782004844E-2</v>
      </c>
      <c r="H170" s="5">
        <f t="shared" ca="1" si="22"/>
        <v>2.1342079561064698E-2</v>
      </c>
      <c r="I170" s="5">
        <f t="shared" ca="1" si="23"/>
        <v>2.9173809719149468E-2</v>
      </c>
      <c r="J170" s="5">
        <f t="shared" ca="1" si="24"/>
        <v>4.2939165183156248E-2</v>
      </c>
      <c r="K170" s="5">
        <f t="shared" si="25"/>
        <v>2.2499999999999999E-2</v>
      </c>
      <c r="M170" s="5">
        <f t="shared" ca="1" si="26"/>
        <v>0.43789199732842565</v>
      </c>
      <c r="N170" s="5">
        <f t="shared" ca="1" si="26"/>
        <v>-0.8238668124509374</v>
      </c>
    </row>
    <row r="171" spans="5:14" x14ac:dyDescent="0.2">
      <c r="E171" s="5">
        <f t="shared" si="19"/>
        <v>8.0499999999999794</v>
      </c>
      <c r="F171" s="5">
        <f t="shared" ca="1" si="20"/>
        <v>7.0693101516825603E-3</v>
      </c>
      <c r="G171" s="5">
        <f t="shared" ca="1" si="21"/>
        <v>1.19061916851301E-2</v>
      </c>
      <c r="H171" s="5">
        <f t="shared" ca="1" si="22"/>
        <v>2.0692886682135984E-2</v>
      </c>
      <c r="I171" s="5">
        <f t="shared" ca="1" si="23"/>
        <v>2.7546063749379103E-2</v>
      </c>
      <c r="J171" s="5">
        <f t="shared" ca="1" si="24"/>
        <v>3.8823530829463944E-2</v>
      </c>
      <c r="K171" s="5">
        <f t="shared" si="25"/>
        <v>2.2499999999999999E-2</v>
      </c>
      <c r="M171" s="5">
        <f t="shared" ca="1" si="26"/>
        <v>-0.99583260791687955</v>
      </c>
      <c r="N171" s="5">
        <f t="shared" ca="1" si="26"/>
        <v>2.4361428339386713</v>
      </c>
    </row>
    <row r="172" spans="5:14" x14ac:dyDescent="0.2">
      <c r="E172" s="5">
        <f t="shared" si="19"/>
        <v>8.0999999999999801</v>
      </c>
      <c r="F172" s="5">
        <f t="shared" ca="1" si="20"/>
        <v>5.4499176271180843E-3</v>
      </c>
      <c r="G172" s="5">
        <f t="shared" ca="1" si="21"/>
        <v>1.03010857244306E-2</v>
      </c>
      <c r="H172" s="5">
        <f t="shared" ca="1" si="22"/>
        <v>1.9111177179416836E-2</v>
      </c>
      <c r="I172" s="5">
        <f t="shared" ca="1" si="23"/>
        <v>2.597666689700414E-2</v>
      </c>
      <c r="J172" s="5">
        <f t="shared" ca="1" si="24"/>
        <v>3.7279615557275506E-2</v>
      </c>
      <c r="K172" s="5">
        <f t="shared" si="25"/>
        <v>2.2499999999999999E-2</v>
      </c>
      <c r="M172" s="5">
        <f t="shared" ca="1" si="26"/>
        <v>-0.94930674081886846</v>
      </c>
      <c r="N172" s="5">
        <f t="shared" ca="1" si="26"/>
        <v>-0.17158804672978789</v>
      </c>
    </row>
    <row r="173" spans="5:14" x14ac:dyDescent="0.2">
      <c r="E173" s="5">
        <f t="shared" si="19"/>
        <v>8.1499999999999808</v>
      </c>
      <c r="F173" s="5">
        <f t="shared" ca="1" si="20"/>
        <v>1.9381025008424562E-3</v>
      </c>
      <c r="G173" s="5">
        <f t="shared" ca="1" si="21"/>
        <v>7.1130189622424364E-3</v>
      </c>
      <c r="H173" s="5">
        <f t="shared" ca="1" si="22"/>
        <v>1.6565412213950571E-2</v>
      </c>
      <c r="I173" s="5">
        <f t="shared" ca="1" si="23"/>
        <v>2.4062344015357773E-2</v>
      </c>
      <c r="J173" s="5">
        <f t="shared" ca="1" si="24"/>
        <v>3.6942335313025418E-2</v>
      </c>
      <c r="K173" s="5">
        <f t="shared" si="25"/>
        <v>2.2499999999999999E-2</v>
      </c>
      <c r="M173" s="5">
        <f t="shared" ca="1" si="26"/>
        <v>-1.1422686993475306</v>
      </c>
      <c r="N173" s="5">
        <f t="shared" ca="1" si="26"/>
        <v>-1.8004515911377155</v>
      </c>
    </row>
    <row r="174" spans="5:14" x14ac:dyDescent="0.2">
      <c r="E174" s="5">
        <f t="shared" si="19"/>
        <v>8.1999999999999815</v>
      </c>
      <c r="F174" s="5">
        <f t="shared" ca="1" si="20"/>
        <v>2.4018120458106679E-3</v>
      </c>
      <c r="G174" s="5">
        <f t="shared" ca="1" si="21"/>
        <v>7.6939420713592497E-3</v>
      </c>
      <c r="H174" s="5">
        <f t="shared" ca="1" si="22"/>
        <v>1.7375555773661653E-2</v>
      </c>
      <c r="I174" s="5">
        <f t="shared" ca="1" si="23"/>
        <v>2.5091104179862142E-2</v>
      </c>
      <c r="J174" s="5">
        <f t="shared" ca="1" si="24"/>
        <v>3.850118625590003E-2</v>
      </c>
      <c r="K174" s="5">
        <f t="shared" si="25"/>
        <v>2.2499999999999999E-2</v>
      </c>
      <c r="M174" s="5">
        <f t="shared" ca="1" si="26"/>
        <v>0.49414880295593466</v>
      </c>
      <c r="N174" s="5">
        <f t="shared" ca="1" si="26"/>
        <v>-0.71448583375904651</v>
      </c>
    </row>
    <row r="175" spans="5:14" x14ac:dyDescent="0.2">
      <c r="E175" s="5">
        <f t="shared" si="19"/>
        <v>8.2499999999999822</v>
      </c>
      <c r="F175" s="5">
        <f t="shared" ca="1" si="20"/>
        <v>2.2640164076003313E-4</v>
      </c>
      <c r="G175" s="5">
        <f t="shared" ca="1" si="21"/>
        <v>5.5934322385309534E-3</v>
      </c>
      <c r="H175" s="5">
        <f t="shared" ca="1" si="22"/>
        <v>1.5419635645315224E-2</v>
      </c>
      <c r="I175" s="5">
        <f t="shared" ca="1" si="23"/>
        <v>2.3269270499005491E-2</v>
      </c>
      <c r="J175" s="5">
        <f t="shared" ca="1" si="24"/>
        <v>3.6989331193354284E-2</v>
      </c>
      <c r="K175" s="5">
        <f t="shared" si="25"/>
        <v>2.2499999999999999E-2</v>
      </c>
      <c r="M175" s="5">
        <f t="shared" ca="1" si="26"/>
        <v>-1.1023448981982105</v>
      </c>
      <c r="N175" s="5">
        <f t="shared" ca="1" si="26"/>
        <v>-0.49254780047315094</v>
      </c>
    </row>
    <row r="176" spans="5:14" x14ac:dyDescent="0.2">
      <c r="E176" s="5">
        <f t="shared" si="19"/>
        <v>8.2999999999999829</v>
      </c>
      <c r="F176" s="5">
        <f t="shared" ca="1" si="20"/>
        <v>2.842955835853897E-4</v>
      </c>
      <c r="G176" s="5">
        <f t="shared" ca="1" si="21"/>
        <v>5.7150170805833692E-3</v>
      </c>
      <c r="H176" s="5">
        <f t="shared" ca="1" si="22"/>
        <v>1.5663388836432288E-2</v>
      </c>
      <c r="I176" s="5">
        <f t="shared" ca="1" si="23"/>
        <v>2.3624698988615783E-2</v>
      </c>
      <c r="J176" s="5">
        <f t="shared" ca="1" si="24"/>
        <v>3.760002121776769E-2</v>
      </c>
      <c r="K176" s="5">
        <f t="shared" si="25"/>
        <v>2.2499999999999999E-2</v>
      </c>
      <c r="M176" s="5">
        <f t="shared" ca="1" si="26"/>
        <v>0.11304882314720555</v>
      </c>
      <c r="N176" s="5">
        <f t="shared" ca="1" si="26"/>
        <v>-0.43425541818479729</v>
      </c>
    </row>
    <row r="177" spans="5:14" x14ac:dyDescent="0.2">
      <c r="E177" s="5">
        <f t="shared" si="19"/>
        <v>8.3499999999999837</v>
      </c>
      <c r="F177" s="5">
        <f t="shared" ca="1" si="20"/>
        <v>-2.7149541535102274E-3</v>
      </c>
      <c r="G177" s="5">
        <f t="shared" ca="1" si="21"/>
        <v>2.6787655079848899E-3</v>
      </c>
      <c r="H177" s="5">
        <f t="shared" ca="1" si="22"/>
        <v>1.2547918489643803E-2</v>
      </c>
      <c r="I177" s="5">
        <f t="shared" ca="1" si="23"/>
        <v>2.041953987621585E-2</v>
      </c>
      <c r="J177" s="5">
        <f t="shared" ca="1" si="24"/>
        <v>3.4143232307285887E-2</v>
      </c>
      <c r="K177" s="5">
        <f t="shared" si="25"/>
        <v>2.2499999999999999E-2</v>
      </c>
      <c r="M177" s="5">
        <f t="shared" ca="1" si="26"/>
        <v>-1.8788071116969007</v>
      </c>
      <c r="N177" s="5">
        <f t="shared" ca="1" si="26"/>
        <v>9.4837191263804854E-2</v>
      </c>
    </row>
    <row r="178" spans="5:14" x14ac:dyDescent="0.2">
      <c r="E178" s="5">
        <f t="shared" si="19"/>
        <v>8.3999999999999844</v>
      </c>
      <c r="F178" s="5">
        <f t="shared" ca="1" si="20"/>
        <v>-3.9541507961459772E-4</v>
      </c>
      <c r="G178" s="5">
        <f t="shared" ca="1" si="21"/>
        <v>5.09235914148578E-3</v>
      </c>
      <c r="H178" s="5">
        <f t="shared" ca="1" si="22"/>
        <v>1.5144405144544605E-2</v>
      </c>
      <c r="I178" s="5">
        <f t="shared" ca="1" si="23"/>
        <v>2.3188437232040136E-2</v>
      </c>
      <c r="J178" s="5">
        <f t="shared" ca="1" si="24"/>
        <v>3.7327591998723972E-2</v>
      </c>
      <c r="K178" s="5">
        <f t="shared" si="25"/>
        <v>2.2499999999999999E-2</v>
      </c>
      <c r="M178" s="5">
        <f t="shared" ca="1" si="26"/>
        <v>1.4621986327302032</v>
      </c>
      <c r="N178" s="5">
        <f t="shared" ca="1" si="26"/>
        <v>-0.5953805533916654</v>
      </c>
    </row>
    <row r="179" spans="5:14" x14ac:dyDescent="0.2">
      <c r="E179" s="5">
        <f t="shared" si="19"/>
        <v>8.4499999999999851</v>
      </c>
      <c r="F179" s="5">
        <f t="shared" ca="1" si="20"/>
        <v>-3.8581225072885326E-3</v>
      </c>
      <c r="G179" s="5">
        <f t="shared" ca="1" si="21"/>
        <v>1.9003329252812013E-3</v>
      </c>
      <c r="H179" s="5">
        <f t="shared" ca="1" si="22"/>
        <v>1.2488524000346753E-2</v>
      </c>
      <c r="I179" s="5">
        <f t="shared" ca="1" si="23"/>
        <v>2.105832525321754E-2</v>
      </c>
      <c r="J179" s="5">
        <f t="shared" ca="1" si="24"/>
        <v>3.6484612104477253E-2</v>
      </c>
      <c r="K179" s="5">
        <f t="shared" si="25"/>
        <v>2.2499999999999999E-2</v>
      </c>
      <c r="M179" s="5">
        <f t="shared" ca="1" si="26"/>
        <v>-1.2787533460002152</v>
      </c>
      <c r="N179" s="5">
        <f t="shared" ca="1" si="26"/>
        <v>-1.5253588803054425</v>
      </c>
    </row>
    <row r="180" spans="5:14" x14ac:dyDescent="0.2">
      <c r="E180" s="5">
        <f t="shared" si="19"/>
        <v>8.4999999999999858</v>
      </c>
      <c r="F180" s="5">
        <f t="shared" ca="1" si="20"/>
        <v>-5.5654988013258879E-3</v>
      </c>
      <c r="G180" s="5">
        <f t="shared" ca="1" si="21"/>
        <v>3.6864588085243496E-4</v>
      </c>
      <c r="H180" s="5">
        <f t="shared" ca="1" si="22"/>
        <v>1.1302999574083988E-2</v>
      </c>
      <c r="I180" s="5">
        <f t="shared" ca="1" si="23"/>
        <v>2.0208574027866473E-2</v>
      </c>
      <c r="J180" s="5">
        <f t="shared" ca="1" si="24"/>
        <v>3.6436921452154575E-2</v>
      </c>
      <c r="K180" s="5">
        <f t="shared" si="25"/>
        <v>2.2499999999999999E-2</v>
      </c>
      <c r="M180" s="5">
        <f t="shared" ca="1" si="26"/>
        <v>-0.57020521297175009</v>
      </c>
      <c r="N180" s="5">
        <f t="shared" ca="1" si="26"/>
        <v>-1.0262604679452405</v>
      </c>
    </row>
    <row r="181" spans="5:14" x14ac:dyDescent="0.2">
      <c r="E181" s="5">
        <f t="shared" si="19"/>
        <v>8.5499999999999865</v>
      </c>
      <c r="F181" s="5">
        <f t="shared" ca="1" si="20"/>
        <v>-6.0265909900775001E-3</v>
      </c>
      <c r="G181" s="5">
        <f t="shared" ca="1" si="21"/>
        <v>7.4112511750650792E-5</v>
      </c>
      <c r="H181" s="5">
        <f t="shared" ca="1" si="22"/>
        <v>1.1336369021851891E-2</v>
      </c>
      <c r="I181" s="5">
        <f t="shared" ca="1" si="23"/>
        <v>2.0559342886388603E-2</v>
      </c>
      <c r="J181" s="5">
        <f t="shared" ca="1" si="24"/>
        <v>3.7536849339943223E-2</v>
      </c>
      <c r="K181" s="5">
        <f t="shared" si="25"/>
        <v>2.2499999999999999E-2</v>
      </c>
      <c r="M181" s="5">
        <f t="shared" ca="1" si="26"/>
        <v>9.6422261093395356E-2</v>
      </c>
      <c r="N181" s="5">
        <f t="shared" ca="1" si="26"/>
        <v>-0.9789082669175686</v>
      </c>
    </row>
    <row r="182" spans="5:14" x14ac:dyDescent="0.2">
      <c r="E182" s="5">
        <f t="shared" si="19"/>
        <v>8.5999999999999872</v>
      </c>
      <c r="F182" s="5">
        <f t="shared" ca="1" si="20"/>
        <v>-3.8795754795086942E-3</v>
      </c>
      <c r="G182" s="5">
        <f t="shared" ca="1" si="21"/>
        <v>2.2114639348593617E-3</v>
      </c>
      <c r="H182" s="5">
        <f t="shared" ca="1" si="22"/>
        <v>1.344917560357905E-2</v>
      </c>
      <c r="I182" s="5">
        <f t="shared" ca="1" si="23"/>
        <v>2.2636920410795455E-2</v>
      </c>
      <c r="J182" s="5">
        <f t="shared" ca="1" si="24"/>
        <v>3.9472881800858575E-2</v>
      </c>
      <c r="K182" s="5">
        <f t="shared" si="25"/>
        <v>2.2499999999999999E-2</v>
      </c>
      <c r="M182" s="5">
        <f t="shared" ca="1" si="26"/>
        <v>1.0575497250683892</v>
      </c>
      <c r="N182" s="5">
        <f t="shared" ca="1" si="26"/>
        <v>-5.2426191495635877E-2</v>
      </c>
    </row>
    <row r="183" spans="5:14" x14ac:dyDescent="0.2">
      <c r="E183" s="5">
        <f t="shared" si="19"/>
        <v>8.6499999999999879</v>
      </c>
      <c r="F183" s="5">
        <f t="shared" ca="1" si="20"/>
        <v>-3.2060147726827074E-3</v>
      </c>
      <c r="G183" s="5">
        <f t="shared" ca="1" si="21"/>
        <v>3.0082538212499619E-3</v>
      </c>
      <c r="H183" s="5">
        <f t="shared" ca="1" si="22"/>
        <v>1.4487200910562116E-2</v>
      </c>
      <c r="I183" s="5">
        <f t="shared" ca="1" si="23"/>
        <v>2.3905229303628789E-2</v>
      </c>
      <c r="J183" s="5">
        <f t="shared" ca="1" si="24"/>
        <v>4.1261339418114253E-2</v>
      </c>
      <c r="K183" s="5">
        <f t="shared" si="25"/>
        <v>2.2499999999999999E-2</v>
      </c>
      <c r="M183" s="5">
        <f t="shared" ca="1" si="26"/>
        <v>0.60594606796385175</v>
      </c>
      <c r="N183" s="5">
        <f t="shared" ca="1" si="26"/>
        <v>-0.75230854288356142</v>
      </c>
    </row>
    <row r="184" spans="5:14" x14ac:dyDescent="0.2">
      <c r="E184" s="5">
        <f t="shared" si="19"/>
        <v>8.6999999999999886</v>
      </c>
      <c r="F184" s="5">
        <f t="shared" ca="1" si="20"/>
        <v>-5.6380851137817775E-3</v>
      </c>
      <c r="G184" s="5">
        <f t="shared" ca="1" si="21"/>
        <v>5.3537456708951567E-4</v>
      </c>
      <c r="H184" s="5">
        <f t="shared" ca="1" si="22"/>
        <v>1.192746824280044E-2</v>
      </c>
      <c r="I184" s="5">
        <f t="shared" ca="1" si="23"/>
        <v>2.1247409580990206E-2</v>
      </c>
      <c r="J184" s="5">
        <f t="shared" ca="1" si="24"/>
        <v>3.8294458192797802E-2</v>
      </c>
      <c r="K184" s="5">
        <f t="shared" si="25"/>
        <v>2.2499999999999999E-2</v>
      </c>
      <c r="M184" s="5">
        <f t="shared" ca="1" si="26"/>
        <v>-1.5917342699522781</v>
      </c>
      <c r="N184" s="5">
        <f t="shared" ca="1" si="26"/>
        <v>0.11006405681257281</v>
      </c>
    </row>
    <row r="185" spans="5:14" x14ac:dyDescent="0.2">
      <c r="E185" s="5">
        <f t="shared" si="19"/>
        <v>8.7499999999999893</v>
      </c>
      <c r="F185" s="5">
        <f t="shared" ca="1" si="20"/>
        <v>-4.0530341120497302E-3</v>
      </c>
      <c r="G185" s="5">
        <f t="shared" ca="1" si="21"/>
        <v>1.9530727510583203E-3</v>
      </c>
      <c r="H185" s="5">
        <f t="shared" ca="1" si="22"/>
        <v>1.3005206142106311E-2</v>
      </c>
      <c r="I185" s="5">
        <f t="shared" ca="1" si="23"/>
        <v>2.1973595956734506E-2</v>
      </c>
      <c r="J185" s="5">
        <f t="shared" ca="1" si="24"/>
        <v>3.8090025808879782E-2</v>
      </c>
      <c r="K185" s="5">
        <f t="shared" si="25"/>
        <v>2.2499999999999999E-2</v>
      </c>
      <c r="M185" s="5">
        <f t="shared" ca="1" si="26"/>
        <v>0.3017103544352544</v>
      </c>
      <c r="N185" s="5">
        <f t="shared" ca="1" si="26"/>
        <v>0.77516545637499235</v>
      </c>
    </row>
    <row r="186" spans="5:14" x14ac:dyDescent="0.2">
      <c r="E186" s="5">
        <f t="shared" si="19"/>
        <v>8.7999999999999901</v>
      </c>
      <c r="F186" s="5">
        <f t="shared" ca="1" si="20"/>
        <v>-4.2212050506106359E-3</v>
      </c>
      <c r="G186" s="5">
        <f t="shared" ca="1" si="21"/>
        <v>1.8809595675684811E-3</v>
      </c>
      <c r="H186" s="5">
        <f t="shared" ca="1" si="22"/>
        <v>1.3119926771106516E-2</v>
      </c>
      <c r="I186" s="5">
        <f t="shared" ca="1" si="23"/>
        <v>2.2263331540790996E-2</v>
      </c>
      <c r="J186" s="5">
        <f t="shared" ca="1" si="24"/>
        <v>3.8776669597143973E-2</v>
      </c>
      <c r="K186" s="5">
        <f t="shared" si="25"/>
        <v>2.2499999999999999E-2</v>
      </c>
      <c r="M186" s="5">
        <f t="shared" ca="1" si="26"/>
        <v>6.2929261692722172E-2</v>
      </c>
      <c r="N186" s="5">
        <f t="shared" ca="1" si="26"/>
        <v>-0.61141734519289237</v>
      </c>
    </row>
    <row r="187" spans="5:14" x14ac:dyDescent="0.2">
      <c r="E187" s="5">
        <f t="shared" si="19"/>
        <v>8.8499999999999908</v>
      </c>
      <c r="F187" s="5">
        <f t="shared" ca="1" si="20"/>
        <v>-1.397689991915542E-3</v>
      </c>
      <c r="G187" s="5">
        <f t="shared" ca="1" si="21"/>
        <v>4.3393254390465368E-3</v>
      </c>
      <c r="H187" s="5">
        <f t="shared" ca="1" si="22"/>
        <v>1.4842681183945168E-2</v>
      </c>
      <c r="I187" s="5">
        <f t="shared" ca="1" si="23"/>
        <v>2.3238544817157997E-2</v>
      </c>
      <c r="J187" s="5">
        <f t="shared" ca="1" si="24"/>
        <v>3.7837730886971926E-2</v>
      </c>
      <c r="K187" s="5">
        <f t="shared" si="25"/>
        <v>2.2499999999999999E-2</v>
      </c>
      <c r="M187" s="5">
        <f t="shared" ca="1" si="26"/>
        <v>0.44390415664562877</v>
      </c>
      <c r="N187" s="5">
        <f t="shared" ca="1" si="26"/>
        <v>1.8144528166338336</v>
      </c>
    </row>
    <row r="188" spans="5:14" x14ac:dyDescent="0.2">
      <c r="E188" s="5">
        <f t="shared" si="19"/>
        <v>8.8999999999999915</v>
      </c>
      <c r="F188" s="5">
        <f t="shared" ca="1" si="20"/>
        <v>2.6394980885674767E-4</v>
      </c>
      <c r="G188" s="5">
        <f t="shared" ca="1" si="21"/>
        <v>5.8709622736353283E-3</v>
      </c>
      <c r="H188" s="5">
        <f t="shared" ca="1" si="22"/>
        <v>1.6108966414226093E-2</v>
      </c>
      <c r="I188" s="5">
        <f t="shared" ca="1" si="23"/>
        <v>2.4227394015791021E-2</v>
      </c>
      <c r="J188" s="5">
        <f t="shared" ca="1" si="24"/>
        <v>3.8110312206400078E-2</v>
      </c>
      <c r="K188" s="5">
        <f t="shared" si="25"/>
        <v>2.2499999999999999E-2</v>
      </c>
      <c r="M188" s="5">
        <f t="shared" ca="1" si="26"/>
        <v>0.46222730382922972</v>
      </c>
      <c r="N188" s="5">
        <f t="shared" ca="1" si="26"/>
        <v>0.57657059235261432</v>
      </c>
    </row>
    <row r="189" spans="5:14" x14ac:dyDescent="0.2">
      <c r="E189" s="5">
        <f t="shared" si="19"/>
        <v>8.9499999999999922</v>
      </c>
      <c r="F189" s="5">
        <f t="shared" ca="1" si="20"/>
        <v>-4.2821442562685713E-3</v>
      </c>
      <c r="G189" s="5">
        <f t="shared" ca="1" si="21"/>
        <v>1.6498672279116754E-3</v>
      </c>
      <c r="H189" s="5">
        <f t="shared" ca="1" si="22"/>
        <v>1.2532488908278447E-2</v>
      </c>
      <c r="I189" s="5">
        <f t="shared" ca="1" si="23"/>
        <v>2.128352495496199E-2</v>
      </c>
      <c r="J189" s="5">
        <f t="shared" ca="1" si="24"/>
        <v>3.6732334628778084E-2</v>
      </c>
      <c r="K189" s="5">
        <f t="shared" si="25"/>
        <v>2.2499999999999999E-2</v>
      </c>
      <c r="M189" s="5">
        <f t="shared" ca="1" si="26"/>
        <v>-1.732224978128718</v>
      </c>
      <c r="N189" s="5">
        <f t="shared" ca="1" si="26"/>
        <v>-1.818051058969588</v>
      </c>
    </row>
    <row r="190" spans="5:14" x14ac:dyDescent="0.2">
      <c r="E190" s="5">
        <f t="shared" si="19"/>
        <v>8.9999999999999929</v>
      </c>
      <c r="F190" s="5">
        <f t="shared" ca="1" si="20"/>
        <v>-5.2319913328369907E-3</v>
      </c>
      <c r="G190" s="5">
        <f t="shared" ca="1" si="21"/>
        <v>6.670728587560552E-4</v>
      </c>
      <c r="H190" s="5">
        <f t="shared" ca="1" si="22"/>
        <v>1.1478388252506027E-2</v>
      </c>
      <c r="I190" s="5">
        <f t="shared" ca="1" si="23"/>
        <v>2.0146252848985927E-2</v>
      </c>
      <c r="J190" s="5">
        <f t="shared" ca="1" si="24"/>
        <v>3.5359681037555116E-2</v>
      </c>
      <c r="K190" s="5">
        <f t="shared" si="25"/>
        <v>2.2499999999999999E-2</v>
      </c>
      <c r="M190" s="5">
        <f t="shared" ca="1" si="26"/>
        <v>-0.73106017788447719</v>
      </c>
      <c r="N190" s="5">
        <f t="shared" ca="1" si="26"/>
        <v>6.451719247277854E-2</v>
      </c>
    </row>
    <row r="191" spans="5:14" x14ac:dyDescent="0.2">
      <c r="E191" s="5">
        <f t="shared" si="19"/>
        <v>9.0499999999999936</v>
      </c>
      <c r="F191" s="5">
        <f t="shared" ca="1" si="20"/>
        <v>-9.6094380537145481E-3</v>
      </c>
      <c r="G191" s="5">
        <f t="shared" ca="1" si="21"/>
        <v>-3.5109235927356691E-3</v>
      </c>
      <c r="H191" s="5">
        <f t="shared" ca="1" si="22"/>
        <v>7.6938545943260285E-3</v>
      </c>
      <c r="I191" s="5">
        <f t="shared" ca="1" si="23"/>
        <v>1.6743338921023098E-2</v>
      </c>
      <c r="J191" s="5">
        <f t="shared" ca="1" si="24"/>
        <v>3.2889835345721395E-2</v>
      </c>
      <c r="K191" s="5">
        <f t="shared" si="25"/>
        <v>2.2499999999999999E-2</v>
      </c>
      <c r="M191" s="5">
        <f t="shared" ca="1" si="26"/>
        <v>-1.9962766370375569</v>
      </c>
      <c r="N191" s="5">
        <f t="shared" ca="1" si="26"/>
        <v>-1.1589163832552414</v>
      </c>
    </row>
    <row r="192" spans="5:14" x14ac:dyDescent="0.2">
      <c r="E192" s="5">
        <f t="shared" si="19"/>
        <v>9.0999999999999943</v>
      </c>
      <c r="F192" s="5">
        <f t="shared" ca="1" si="20"/>
        <v>-9.974589904293037E-3</v>
      </c>
      <c r="G192" s="5">
        <f t="shared" ca="1" si="21"/>
        <v>-3.5099613148005891E-3</v>
      </c>
      <c r="H192" s="5">
        <f t="shared" ca="1" si="22"/>
        <v>8.421583194523935E-3</v>
      </c>
      <c r="I192" s="5">
        <f t="shared" ca="1" si="23"/>
        <v>1.8186077046072502E-2</v>
      </c>
      <c r="J192" s="5">
        <f t="shared" ca="1" si="24"/>
        <v>3.6096484652589356E-2</v>
      </c>
      <c r="K192" s="5">
        <f t="shared" si="25"/>
        <v>2.2499999999999999E-2</v>
      </c>
      <c r="M192" s="5">
        <f t="shared" ca="1" si="26"/>
        <v>0.70730919941505821</v>
      </c>
      <c r="N192" s="5">
        <f t="shared" ca="1" si="26"/>
        <v>-2.0365062599949617</v>
      </c>
    </row>
    <row r="193" spans="5:14" x14ac:dyDescent="0.2">
      <c r="E193" s="5">
        <f t="shared" si="19"/>
        <v>9.149999999999995</v>
      </c>
      <c r="F193" s="5">
        <f t="shared" ca="1" si="20"/>
        <v>-1.0862123139402739E-2</v>
      </c>
      <c r="G193" s="5">
        <f t="shared" ca="1" si="21"/>
        <v>-4.305063719770191E-3</v>
      </c>
      <c r="H193" s="5">
        <f t="shared" ca="1" si="22"/>
        <v>7.8058596918731517E-3</v>
      </c>
      <c r="I193" s="5">
        <f t="shared" ca="1" si="23"/>
        <v>1.7738033441961388E-2</v>
      </c>
      <c r="J193" s="5">
        <f t="shared" ca="1" si="24"/>
        <v>3.6018962745189641E-2</v>
      </c>
      <c r="K193" s="5">
        <f t="shared" si="25"/>
        <v>2.2499999999999999E-2</v>
      </c>
      <c r="M193" s="5">
        <f t="shared" ca="1" si="26"/>
        <v>-0.3595304831113646</v>
      </c>
      <c r="N193" s="5">
        <f t="shared" ca="1" si="26"/>
        <v>-0.59728478226815085</v>
      </c>
    </row>
    <row r="194" spans="5:14" x14ac:dyDescent="0.2">
      <c r="E194" s="5">
        <f t="shared" si="19"/>
        <v>9.1999999999999957</v>
      </c>
      <c r="F194" s="5">
        <f t="shared" ca="1" si="20"/>
        <v>-8.9283661676572493E-3</v>
      </c>
      <c r="G194" s="5">
        <f t="shared" ca="1" si="21"/>
        <v>-2.3908121677573878E-3</v>
      </c>
      <c r="H194" s="5">
        <f t="shared" ca="1" si="22"/>
        <v>9.6755993092627925E-3</v>
      </c>
      <c r="I194" s="5">
        <f t="shared" ca="1" si="23"/>
        <v>1.9551367815546814E-2</v>
      </c>
      <c r="J194" s="5">
        <f t="shared" ca="1" si="24"/>
        <v>3.7640311498669088E-2</v>
      </c>
      <c r="K194" s="5">
        <f t="shared" si="25"/>
        <v>2.2499999999999999E-2</v>
      </c>
      <c r="M194" s="5">
        <f t="shared" ca="1" si="26"/>
        <v>0.90254695787378925</v>
      </c>
      <c r="N194" s="5">
        <f t="shared" ca="1" si="26"/>
        <v>-9.0716802109582773E-3</v>
      </c>
    </row>
    <row r="195" spans="5:14" x14ac:dyDescent="0.2">
      <c r="E195" s="5">
        <f t="shared" si="19"/>
        <v>9.2499999999999964</v>
      </c>
      <c r="F195" s="5">
        <f t="shared" ca="1" si="20"/>
        <v>-1.2427443194426235E-2</v>
      </c>
      <c r="G195" s="5">
        <f t="shared" ca="1" si="21"/>
        <v>-5.926818217626242E-3</v>
      </c>
      <c r="H195" s="5">
        <f t="shared" ca="1" si="22"/>
        <v>6.0602118400647767E-3</v>
      </c>
      <c r="I195" s="5">
        <f t="shared" ca="1" si="23"/>
        <v>1.5844493225462164E-2</v>
      </c>
      <c r="J195" s="5">
        <f t="shared" ca="1" si="24"/>
        <v>3.3652887392854644E-2</v>
      </c>
      <c r="K195" s="5">
        <f t="shared" si="25"/>
        <v>2.2499999999999999E-2</v>
      </c>
      <c r="M195" s="5">
        <f t="shared" ca="1" si="26"/>
        <v>-2.1822704330755527</v>
      </c>
      <c r="N195" s="5">
        <f t="shared" ca="1" si="26"/>
        <v>8.1876180904148832E-2</v>
      </c>
    </row>
    <row r="196" spans="5:14" x14ac:dyDescent="0.2">
      <c r="E196" s="5">
        <f t="shared" si="19"/>
        <v>9.2999999999999972</v>
      </c>
      <c r="F196" s="5">
        <f t="shared" ca="1" si="20"/>
        <v>-1.0598326423684983E-2</v>
      </c>
      <c r="G196" s="5">
        <f t="shared" ca="1" si="21"/>
        <v>-4.2045212294612661E-3</v>
      </c>
      <c r="H196" s="5">
        <f t="shared" ca="1" si="22"/>
        <v>7.5633194160653044E-3</v>
      </c>
      <c r="I196" s="5">
        <f t="shared" ca="1" si="23"/>
        <v>1.7116090013144573E-2</v>
      </c>
      <c r="J196" s="5">
        <f t="shared" ca="1" si="24"/>
        <v>3.4307945344488229E-2</v>
      </c>
      <c r="K196" s="5">
        <f t="shared" si="25"/>
        <v>2.2499999999999999E-2</v>
      </c>
      <c r="M196" s="5">
        <f t="shared" ca="1" si="26"/>
        <v>0.60234799257605953</v>
      </c>
      <c r="N196" s="5">
        <f t="shared" ca="1" si="26"/>
        <v>0.44886847088951143</v>
      </c>
    </row>
    <row r="197" spans="5:14" x14ac:dyDescent="0.2">
      <c r="E197" s="5">
        <f t="shared" si="19"/>
        <v>9.3499999999999979</v>
      </c>
      <c r="F197" s="5">
        <f t="shared" ca="1" si="20"/>
        <v>-1.075619400620614E-2</v>
      </c>
      <c r="G197" s="5">
        <f t="shared" ca="1" si="21"/>
        <v>-4.4207502776634471E-3</v>
      </c>
      <c r="H197" s="5">
        <f t="shared" ca="1" si="22"/>
        <v>7.2247870474359335E-3</v>
      </c>
      <c r="I197" s="5">
        <f t="shared" ca="1" si="23"/>
        <v>1.6642863363685648E-2</v>
      </c>
      <c r="J197" s="5">
        <f t="shared" ca="1" si="24"/>
        <v>3.3465692917814628E-2</v>
      </c>
      <c r="K197" s="5">
        <f t="shared" si="25"/>
        <v>2.2499999999999999E-2</v>
      </c>
      <c r="M197" s="5">
        <f t="shared" ca="1" si="26"/>
        <v>-0.36959140409921964</v>
      </c>
      <c r="N197" s="5">
        <f t="shared" ca="1" si="26"/>
        <v>0.19318297316576061</v>
      </c>
    </row>
    <row r="198" spans="5:14" x14ac:dyDescent="0.2">
      <c r="E198" s="5">
        <f t="shared" si="19"/>
        <v>9.3999999999999986</v>
      </c>
      <c r="F198" s="5">
        <f t="shared" ca="1" si="20"/>
        <v>-1.3087921670449372E-2</v>
      </c>
      <c r="G198" s="5">
        <f t="shared" ca="1" si="21"/>
        <v>-6.700583623133389E-3</v>
      </c>
      <c r="H198" s="5">
        <f t="shared" ca="1" si="22"/>
        <v>5.0431311958906311E-3</v>
      </c>
      <c r="I198" s="5">
        <f t="shared" ca="1" si="23"/>
        <v>1.4546980918921273E-2</v>
      </c>
      <c r="J198" s="5">
        <f t="shared" ca="1" si="24"/>
        <v>3.1558557055579126E-2</v>
      </c>
      <c r="K198" s="5">
        <f t="shared" si="25"/>
        <v>2.2499999999999999E-2</v>
      </c>
      <c r="M198" s="5">
        <f t="shared" ca="1" si="26"/>
        <v>-1.2746206528877089</v>
      </c>
      <c r="N198" s="5">
        <f t="shared" ca="1" si="26"/>
        <v>-0.3876438084452456</v>
      </c>
    </row>
    <row r="199" spans="5:14" x14ac:dyDescent="0.2">
      <c r="E199" s="5">
        <f t="shared" si="19"/>
        <v>9.4499999999999993</v>
      </c>
      <c r="F199" s="5">
        <f t="shared" ca="1" si="20"/>
        <v>-1.0336417574999594E-2</v>
      </c>
      <c r="G199" s="5">
        <f t="shared" ca="1" si="21"/>
        <v>-3.8861291393194023E-3</v>
      </c>
      <c r="H199" s="5">
        <f t="shared" ca="1" si="22"/>
        <v>7.9778457678135999E-3</v>
      </c>
      <c r="I199" s="5">
        <f t="shared" ca="1" si="23"/>
        <v>1.7589604724643871E-2</v>
      </c>
      <c r="J199" s="5">
        <f t="shared" ca="1" si="24"/>
        <v>3.4848789558568231E-2</v>
      </c>
      <c r="K199" s="5">
        <f t="shared" si="25"/>
        <v>2.2499999999999999E-2</v>
      </c>
      <c r="M199" s="5">
        <f t="shared" ca="1" si="26"/>
        <v>1.5968365413637597</v>
      </c>
      <c r="N199" s="5">
        <f t="shared" ca="1" si="26"/>
        <v>-0.44655156287705111</v>
      </c>
    </row>
    <row r="200" spans="5:14" x14ac:dyDescent="0.2">
      <c r="E200" s="5">
        <f t="shared" si="19"/>
        <v>9.5</v>
      </c>
      <c r="F200" s="5">
        <f t="shared" ca="1" si="20"/>
        <v>-9.2086825402856488E-3</v>
      </c>
      <c r="G200" s="5">
        <f t="shared" ca="1" si="21"/>
        <v>-2.8706562228481137E-3</v>
      </c>
      <c r="H200" s="5">
        <f t="shared" ca="1" si="22"/>
        <v>8.7631270222533805E-3</v>
      </c>
      <c r="I200" s="5">
        <f t="shared" ca="1" si="23"/>
        <v>1.8132430590228194E-2</v>
      </c>
      <c r="J200" s="5">
        <f t="shared" ca="1" si="24"/>
        <v>3.4753165006232038E-2</v>
      </c>
      <c r="K200" s="5">
        <f t="shared" si="25"/>
        <v>2.2499999999999999E-2</v>
      </c>
      <c r="M200" s="5">
        <f t="shared" ca="1" si="26"/>
        <v>0.19802283562570899</v>
      </c>
      <c r="N200" s="5">
        <f t="shared" ca="1" si="26"/>
        <v>0.47455843994943159</v>
      </c>
    </row>
    <row r="201" spans="5:14" x14ac:dyDescent="0.2">
      <c r="E201" s="5">
        <f t="shared" si="19"/>
        <v>9.5500000000000007</v>
      </c>
      <c r="F201" s="5">
        <f t="shared" ca="1" si="20"/>
        <v>-7.2360948510204288E-3</v>
      </c>
      <c r="G201" s="5">
        <f t="shared" ca="1" si="21"/>
        <v>-1.0525709968810732E-3</v>
      </c>
      <c r="H201" s="5">
        <f t="shared" ca="1" si="22"/>
        <v>1.0266516674184573E-2</v>
      </c>
      <c r="I201" s="5">
        <f t="shared" ca="1" si="23"/>
        <v>1.930884441501237E-2</v>
      </c>
      <c r="J201" s="5">
        <f t="shared" ca="1" si="24"/>
        <v>3.5087258681571393E-2</v>
      </c>
      <c r="K201" s="5">
        <f t="shared" si="25"/>
        <v>2.2499999999999999E-2</v>
      </c>
      <c r="M201" s="5">
        <f t="shared" ca="1" si="26"/>
        <v>0.55577831858660076</v>
      </c>
      <c r="N201" s="5">
        <f t="shared" ca="1" si="26"/>
        <v>0.69605364987351237</v>
      </c>
    </row>
    <row r="202" spans="5:14" x14ac:dyDescent="0.2">
      <c r="E202" s="5">
        <f t="shared" si="19"/>
        <v>9.6000000000000014</v>
      </c>
      <c r="F202" s="5">
        <f t="shared" ca="1" si="20"/>
        <v>-6.8708267337500833E-3</v>
      </c>
      <c r="G202" s="5">
        <f t="shared" ca="1" si="21"/>
        <v>-4.973858914831767E-4</v>
      </c>
      <c r="H202" s="5">
        <f t="shared" ca="1" si="22"/>
        <v>1.1195822634442279E-2</v>
      </c>
      <c r="I202" s="5">
        <f t="shared" ca="1" si="23"/>
        <v>2.0600049177530725E-2</v>
      </c>
      <c r="J202" s="5">
        <f t="shared" ca="1" si="24"/>
        <v>3.726653985000962E-2</v>
      </c>
      <c r="K202" s="5">
        <f t="shared" si="25"/>
        <v>2.2499999999999999E-2</v>
      </c>
      <c r="M202" s="5">
        <f t="shared" ca="1" si="26"/>
        <v>0.62465711636268484</v>
      </c>
      <c r="N202" s="5">
        <f t="shared" ca="1" si="26"/>
        <v>-1.1168014631238767</v>
      </c>
    </row>
    <row r="203" spans="5:14" x14ac:dyDescent="0.2">
      <c r="E203" s="5">
        <f t="shared" si="19"/>
        <v>9.6500000000000021</v>
      </c>
      <c r="F203" s="5">
        <f t="shared" ca="1" si="20"/>
        <v>-7.1095172346310959E-3</v>
      </c>
      <c r="G203" s="5">
        <f t="shared" ca="1" si="21"/>
        <v>-7.2428536491891764E-4</v>
      </c>
      <c r="H203" s="5">
        <f t="shared" ca="1" si="22"/>
        <v>1.0986772199256575E-2</v>
      </c>
      <c r="I203" s="5">
        <f t="shared" ca="1" si="23"/>
        <v>2.0396764573313561E-2</v>
      </c>
      <c r="J203" s="5">
        <f t="shared" ca="1" si="24"/>
        <v>3.7047087021495048E-2</v>
      </c>
      <c r="K203" s="5">
        <f t="shared" si="25"/>
        <v>2.2499999999999999E-2</v>
      </c>
      <c r="M203" s="5">
        <f t="shared" ca="1" si="26"/>
        <v>-0.21575233558725149</v>
      </c>
      <c r="N203" s="5">
        <f t="shared" ca="1" si="26"/>
        <v>-0.18037232559930771</v>
      </c>
    </row>
    <row r="204" spans="5:14" x14ac:dyDescent="0.2">
      <c r="E204" s="5">
        <f t="shared" ref="E204:E210" si="27">E203+$C$9</f>
        <v>9.7000000000000028</v>
      </c>
      <c r="F204" s="5">
        <f t="shared" ref="F204:F210" ca="1" si="28">F203+F$4*$C$9+SQRT($C$9)*F$5*$M204+SQRT($C$9)*F$6*$N204+(G203-F203)/(G$9-F$9)*$C$9</f>
        <v>-3.3434682695906151E-3</v>
      </c>
      <c r="G204" s="5">
        <f t="shared" ref="G204:G210" ca="1" si="29">G203+G$4*$C$9+SQRT($C$9)*G$5*$M204+SQRT($C$9)*G$6*$N204+(H203-G203)/(H$9-G$9)*$C$9</f>
        <v>3.031841712697382E-3</v>
      </c>
      <c r="H204" s="5">
        <f t="shared" ref="H204:H210" ca="1" si="30">H203+H$4*$C$9+SQRT($C$9)*H$5*$M204+SQRT($C$9)*H$6*$N204+(I203-H203)/(I$9-H$9)*$C$9</f>
        <v>1.4717307056033992E-2</v>
      </c>
      <c r="I204" s="5">
        <f t="shared" ref="I204:I210" ca="1" si="31">I203+I$4*$C$9+SQRT($C$9)*I$5*$M204+SQRT($C$9)*I$6*$N204+(J203-I203)/(J$9-I$9)*$C$9</f>
        <v>2.4089620254135448E-2</v>
      </c>
      <c r="J204" s="5">
        <f t="shared" ref="J204:J210" ca="1" si="32">J203+J$4*$C$9+SQRT($C$9)*J$5*$M204+SQRT($C$9)*J$6*$N204+(K203-J203)/(K$9-J$9)*$C$9</f>
        <v>4.0616636845066577E-2</v>
      </c>
      <c r="K204" s="5">
        <f t="shared" ref="K204:K210" si="33">K203</f>
        <v>2.2499999999999999E-2</v>
      </c>
      <c r="M204" s="5">
        <f t="shared" ref="M204:N210" ca="1" si="34">RAND()+RAND()+RAND()+RAND()+RAND()+RAND()+RAND()+RAND()+RAND()+RAND()+RAND()+RAND()-6</f>
        <v>1.9623466793399418</v>
      </c>
      <c r="N204" s="5">
        <f t="shared" ca="1" si="34"/>
        <v>-6.6887459094234991E-2</v>
      </c>
    </row>
    <row r="205" spans="5:14" x14ac:dyDescent="0.2">
      <c r="E205" s="5">
        <f t="shared" si="27"/>
        <v>9.7500000000000036</v>
      </c>
      <c r="F205" s="5">
        <f t="shared" ca="1" si="28"/>
        <v>4.9600802049429922E-4</v>
      </c>
      <c r="G205" s="5">
        <f t="shared" ca="1" si="29"/>
        <v>6.6489501342564478E-3</v>
      </c>
      <c r="H205" s="5">
        <f t="shared" ca="1" si="30"/>
        <v>1.7883916542972451E-2</v>
      </c>
      <c r="I205" s="5">
        <f t="shared" ca="1" si="31"/>
        <v>2.6793654946040954E-2</v>
      </c>
      <c r="J205" s="5">
        <f t="shared" ca="1" si="32"/>
        <v>4.2128163513975782E-2</v>
      </c>
      <c r="K205" s="5">
        <f t="shared" si="33"/>
        <v>2.2499999999999999E-2</v>
      </c>
      <c r="M205" s="5">
        <f t="shared" ca="1" si="34"/>
        <v>1.4102682428381321</v>
      </c>
      <c r="N205" s="5">
        <f t="shared" ca="1" si="34"/>
        <v>1.0501062053527503</v>
      </c>
    </row>
    <row r="206" spans="5:14" x14ac:dyDescent="0.2">
      <c r="E206" s="5">
        <f t="shared" si="27"/>
        <v>9.8000000000000043</v>
      </c>
      <c r="F206" s="5">
        <f t="shared" ca="1" si="28"/>
        <v>-1.2571224649565699E-4</v>
      </c>
      <c r="G206" s="5">
        <f t="shared" ca="1" si="29"/>
        <v>5.9842957547072634E-3</v>
      </c>
      <c r="H206" s="5">
        <f t="shared" ca="1" si="30"/>
        <v>1.7127617004104038E-2</v>
      </c>
      <c r="I206" s="5">
        <f t="shared" ca="1" si="31"/>
        <v>2.5933575573597129E-2</v>
      </c>
      <c r="J206" s="5">
        <f t="shared" ca="1" si="32"/>
        <v>4.0981611561622555E-2</v>
      </c>
      <c r="K206" s="5">
        <f t="shared" si="33"/>
        <v>2.2499999999999999E-2</v>
      </c>
      <c r="M206" s="5">
        <f t="shared" ca="1" si="34"/>
        <v>-0.57546576651607495</v>
      </c>
      <c r="N206" s="5">
        <f t="shared" ca="1" si="34"/>
        <v>0.10528679749918535</v>
      </c>
    </row>
    <row r="207" spans="5:14" x14ac:dyDescent="0.2">
      <c r="E207" s="5">
        <f t="shared" si="27"/>
        <v>9.850000000000005</v>
      </c>
      <c r="F207" s="5">
        <f t="shared" ca="1" si="28"/>
        <v>1.7090405347403468E-4</v>
      </c>
      <c r="G207" s="5">
        <f t="shared" ca="1" si="29"/>
        <v>6.2421715960897343E-3</v>
      </c>
      <c r="H207" s="5">
        <f t="shared" ca="1" si="30"/>
        <v>1.730222047396493E-2</v>
      </c>
      <c r="I207" s="5">
        <f t="shared" ca="1" si="31"/>
        <v>2.6012805134576954E-2</v>
      </c>
      <c r="J207" s="5">
        <f t="shared" ca="1" si="32"/>
        <v>4.0801790035008091E-2</v>
      </c>
      <c r="K207" s="5">
        <f t="shared" si="33"/>
        <v>2.2499999999999999E-2</v>
      </c>
      <c r="M207" s="5">
        <f t="shared" ca="1" si="34"/>
        <v>-4.8774679358131401E-2</v>
      </c>
      <c r="N207" s="5">
        <f t="shared" ca="1" si="34"/>
        <v>8.2462713275933019E-2</v>
      </c>
    </row>
    <row r="208" spans="5:14" x14ac:dyDescent="0.2">
      <c r="E208" s="5">
        <f t="shared" si="27"/>
        <v>9.9000000000000057</v>
      </c>
      <c r="F208" s="5">
        <f t="shared" ca="1" si="28"/>
        <v>2.1123615480327135E-3</v>
      </c>
      <c r="G208" s="5">
        <f t="shared" ca="1" si="29"/>
        <v>7.619279250008857E-3</v>
      </c>
      <c r="H208" s="5">
        <f t="shared" ca="1" si="30"/>
        <v>1.7544824026541176E-2</v>
      </c>
      <c r="I208" s="5">
        <f t="shared" ca="1" si="31"/>
        <v>2.5108899423730908E-2</v>
      </c>
      <c r="J208" s="5">
        <f t="shared" ca="1" si="32"/>
        <v>3.701455032279196E-2</v>
      </c>
      <c r="K208" s="5">
        <f t="shared" si="33"/>
        <v>2.2499999999999999E-2</v>
      </c>
      <c r="M208" s="5">
        <f t="shared" ca="1" si="34"/>
        <v>-0.59691586447446099</v>
      </c>
      <c r="N208" s="5">
        <f t="shared" ca="1" si="34"/>
        <v>2.8471087267828885</v>
      </c>
    </row>
    <row r="209" spans="5:14" x14ac:dyDescent="0.2">
      <c r="E209" s="5">
        <f t="shared" si="27"/>
        <v>9.9500000000000064</v>
      </c>
      <c r="F209" s="5">
        <f t="shared" ca="1" si="28"/>
        <v>4.8239375790953935E-3</v>
      </c>
      <c r="G209" s="5">
        <f t="shared" ca="1" si="29"/>
        <v>1.0096401127199478E-2</v>
      </c>
      <c r="H209" s="5">
        <f t="shared" ca="1" si="30"/>
        <v>1.954722326787512E-2</v>
      </c>
      <c r="I209" s="5">
        <f t="shared" ca="1" si="31"/>
        <v>2.6624700387752595E-2</v>
      </c>
      <c r="J209" s="5">
        <f t="shared" ca="1" si="32"/>
        <v>3.7335522711083265E-2</v>
      </c>
      <c r="K209" s="5">
        <f t="shared" si="33"/>
        <v>2.2499999999999999E-2</v>
      </c>
      <c r="M209" s="5">
        <f t="shared" ca="1" si="34"/>
        <v>0.77185961525134772</v>
      </c>
      <c r="N209" s="5">
        <f t="shared" ca="1" si="34"/>
        <v>1.1106530608019121</v>
      </c>
    </row>
    <row r="210" spans="5:14" x14ac:dyDescent="0.2">
      <c r="E210" s="5">
        <f t="shared" si="27"/>
        <v>10.000000000000007</v>
      </c>
      <c r="F210" s="5">
        <f t="shared" ca="1" si="28"/>
        <v>4.3872806435259508E-3</v>
      </c>
      <c r="G210" s="5">
        <f t="shared" ca="1" si="29"/>
        <v>9.7506441546146363E-3</v>
      </c>
      <c r="H210" s="5">
        <f t="shared" ca="1" si="30"/>
        <v>1.9377445718516156E-2</v>
      </c>
      <c r="I210" s="5">
        <f t="shared" ca="1" si="31"/>
        <v>2.6619540182375827E-2</v>
      </c>
      <c r="J210" s="5">
        <f t="shared" ca="1" si="32"/>
        <v>3.7774177160060061E-2</v>
      </c>
      <c r="K210" s="5">
        <f t="shared" si="33"/>
        <v>2.2499999999999999E-2</v>
      </c>
      <c r="M210" s="5">
        <f t="shared" ca="1" si="34"/>
        <v>-7.1704231434799759E-2</v>
      </c>
      <c r="N210" s="5">
        <f t="shared" ca="1" si="34"/>
        <v>-0.60190918125333859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2-factor HJM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HJM</dc:title>
  <dc:creator>Emrah Ozpeynirci</dc:creator>
  <cp:lastModifiedBy>Emrah Ozpeynirci</cp:lastModifiedBy>
  <dcterms:created xsi:type="dcterms:W3CDTF">2000-11-17T10:43:53Z</dcterms:created>
  <dcterms:modified xsi:type="dcterms:W3CDTF">2018-01-28T18:14:43Z</dcterms:modified>
</cp:coreProperties>
</file>